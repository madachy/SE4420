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dianakuhn/Desktop/SE4420 Modeling&amp;Sim in Acq/"/>
    </mc:Choice>
  </mc:AlternateContent>
  <xr:revisionPtr revIDLastSave="0" documentId="13_ncr:1_{42AC0B75-5050-4240-83E3-E51C14F21F9C}" xr6:coauthVersionLast="47" xr6:coauthVersionMax="47" xr10:uidLastSave="{00000000-0000-0000-0000-000000000000}"/>
  <bookViews>
    <workbookView xWindow="0" yWindow="860" windowWidth="36080" windowHeight="16260" xr2:uid="{032EC18C-7300-F149-8C45-56718A51488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D66" i="1"/>
  <c r="H66" i="1"/>
  <c r="E80" i="1"/>
  <c r="K64" i="1"/>
  <c r="I62" i="1"/>
  <c r="I61" i="1"/>
  <c r="I59" i="1"/>
  <c r="I56" i="1"/>
  <c r="I52" i="1"/>
  <c r="I51" i="1"/>
  <c r="I49" i="1"/>
  <c r="I48" i="1"/>
  <c r="I46" i="1"/>
  <c r="H64" i="1"/>
  <c r="D64" i="1"/>
  <c r="H63" i="1"/>
  <c r="H57" i="1"/>
  <c r="H58" i="1"/>
  <c r="H53" i="1"/>
  <c r="H54" i="1"/>
  <c r="H55" i="1"/>
  <c r="H50" i="1"/>
  <c r="H47" i="1"/>
  <c r="H60" i="1"/>
  <c r="H61" i="1"/>
  <c r="H62" i="1"/>
  <c r="H59" i="1"/>
  <c r="H56" i="1"/>
  <c r="H52" i="1"/>
  <c r="H51" i="1"/>
  <c r="H49" i="1"/>
  <c r="H48" i="1"/>
  <c r="H46" i="1"/>
  <c r="E34" i="1"/>
  <c r="D34" i="1"/>
  <c r="D32" i="1"/>
  <c r="I32" i="1"/>
  <c r="H32" i="1"/>
  <c r="I35" i="1" s="1"/>
  <c r="I31" i="1"/>
  <c r="I30" i="1"/>
  <c r="I29" i="1"/>
  <c r="I28" i="1"/>
  <c r="G26" i="1"/>
  <c r="E29" i="1"/>
  <c r="E30" i="1"/>
  <c r="E31" i="1"/>
  <c r="E28" i="1"/>
  <c r="E27" i="1"/>
  <c r="E26" i="1"/>
  <c r="G27" i="1" l="1"/>
  <c r="H27" i="1"/>
  <c r="H28" i="1" l="1"/>
  <c r="G28" i="1"/>
  <c r="G29" i="1" l="1"/>
  <c r="F30" i="1" s="1"/>
  <c r="H29" i="1"/>
  <c r="H30" i="1" l="1"/>
  <c r="G30" i="1"/>
  <c r="F31" i="1" s="1"/>
  <c r="H31" i="1" l="1"/>
  <c r="G31" i="1"/>
</calcChain>
</file>

<file path=xl/sharedStrings.xml><?xml version="1.0" encoding="utf-8"?>
<sst xmlns="http://schemas.openxmlformats.org/spreadsheetml/2006/main" count="81" uniqueCount="71">
  <si>
    <t>SE 4420 HW #1- D.Kuhn</t>
  </si>
  <si>
    <t>Length of Q</t>
  </si>
  <si>
    <t>Time</t>
  </si>
  <si>
    <t>people</t>
  </si>
  <si>
    <t>Avg Queue Length=</t>
  </si>
  <si>
    <t xml:space="preserve">[0, 1.4, 2.1, 1.9, 0.2, 1.5] </t>
  </si>
  <si>
    <t xml:space="preserve">Thus the first pilot arrives at the very beginning of his shift. The respective helicopter service times in hours are: </t>
  </si>
  <si>
    <t xml:space="preserve">[2.2, 1.2, .3, 2.8, .2, 1.8] </t>
  </si>
  <si>
    <t>(during 30 min)</t>
  </si>
  <si>
    <t>Pilot #</t>
  </si>
  <si>
    <t>Clock Time</t>
  </si>
  <si>
    <t>Svc Start</t>
  </si>
  <si>
    <t>Wait Time</t>
  </si>
  <si>
    <t>Idle Time</t>
  </si>
  <si>
    <t>Queue Length Start</t>
  </si>
  <si>
    <t>Queue Length End</t>
  </si>
  <si>
    <t xml:space="preserve">        </t>
  </si>
  <si>
    <t>Helicopter Svc Time (hrs)</t>
  </si>
  <si>
    <t>Inter-Arrival Time (hrs)</t>
  </si>
  <si>
    <t>Svc End (hrs)</t>
  </si>
  <si>
    <t>Total Wait =</t>
  </si>
  <si>
    <t>Avg Wait time in queue=</t>
  </si>
  <si>
    <t>(hours)</t>
  </si>
  <si>
    <t>(Max queue)</t>
  </si>
  <si>
    <t>(Min queue)</t>
  </si>
  <si>
    <t>Totals:</t>
  </si>
  <si>
    <t>Tot Idle time</t>
  </si>
  <si>
    <t>(total queue time in hrs)</t>
  </si>
  <si>
    <t>Resource Utilization=</t>
  </si>
  <si>
    <t xml:space="preserve">Calculate the minimum and maximum queue length for this period, the total queue time (total time spent in queue for all pilots), the average waiting time in queue, the total idle time for the mechanic, and the resource utilization for the mechanic. Show all your work.   I followed the example in the text book in Table 1.2 and Table 1.3  to complete the table below. </t>
  </si>
  <si>
    <t xml:space="preserve">3. (5 points) Below is another depiction of the class example for the Navy cargo ship maintenance facility scenario. This is for the single facility configuration and all time units are in days. </t>
  </si>
  <si>
    <t>1) What is the average waiting time for the ships that need service?</t>
  </si>
  <si>
    <t xml:space="preserve">2) Calculate the 20-day resource utilization of the single facility using fractional days. The facility is open and staffed 24 hours each day available for service. </t>
  </si>
  <si>
    <r>
      <rPr>
        <b/>
        <sz val="12"/>
        <color theme="1"/>
        <rFont val="CMR10"/>
      </rPr>
      <t>2.</t>
    </r>
    <r>
      <rPr>
        <sz val="12"/>
        <color theme="1"/>
        <rFont val="CMR10"/>
      </rPr>
      <t xml:space="preserve"> (4 points) Compute this problem manually without the aid of a simulation tool. A Navy helicopter mechanic starts his shift and services incoming helicopters at the following inter- arrival times in hours: </t>
    </r>
  </si>
  <si>
    <r>
      <rPr>
        <b/>
        <sz val="12"/>
        <color theme="1"/>
        <rFont val="CMR10"/>
      </rPr>
      <t xml:space="preserve">1. </t>
    </r>
    <r>
      <rPr>
        <sz val="12"/>
        <color theme="1"/>
        <rFont val="CMR10"/>
      </rPr>
      <t xml:space="preserve">(1 point) The length of a queue during a 30 minute period is 3 for the first 5 minutes, 4 for the next 10 minutes, 2 for the next 6 minutes, and 3 for the last 9 minutes. What is the average queue length during this time? </t>
    </r>
  </si>
  <si>
    <t>Total Helicopter Svc time/Tot time in Svc (from Svc End column)</t>
  </si>
  <si>
    <t>Ship</t>
  </si>
  <si>
    <t>Interarrival Time</t>
  </si>
  <si>
    <t>Arrival Time</t>
  </si>
  <si>
    <t>Service Time</t>
  </si>
  <si>
    <t>Service Start</t>
  </si>
  <si>
    <t>Service End</t>
  </si>
  <si>
    <t>Wait Time=Svc Start -arv time</t>
  </si>
  <si>
    <t>Avg Wait Time=</t>
  </si>
  <si>
    <t>days</t>
  </si>
  <si>
    <t xml:space="preserve">Resource Utilization = </t>
  </si>
  <si>
    <t>Idle time= arv time - svc end time</t>
  </si>
  <si>
    <t>A. it will be the same</t>
  </si>
  <si>
    <t>B. it will increase</t>
  </si>
  <si>
    <t>C. it will decrease</t>
  </si>
  <si>
    <t xml:space="preserve">D. it cannot be determined </t>
  </si>
  <si>
    <t xml:space="preserve">Assume the same inputs for ship arrivals and service durations. </t>
  </si>
  <si>
    <r>
      <rPr>
        <sz val="12"/>
        <color theme="1"/>
        <rFont val="Times New Roman"/>
        <family val="1"/>
      </rPr>
      <t>4. (1 point) In Problem 3, how might the resource utilization change for the first facility when a second facility is added? In this case ships will be serviced by the second facilit</t>
    </r>
    <r>
      <rPr>
        <sz val="12"/>
        <color theme="1"/>
        <rFont val="Aptos Narrow"/>
        <family val="2"/>
        <scheme val="minor"/>
      </rPr>
      <t xml:space="preserve">y when the first is busy. </t>
    </r>
  </si>
  <si>
    <t>Need to simulate adding a second facility and then assign the ship maintenance to both with caveat to assign to Facility 1 first if free.</t>
  </si>
  <si>
    <t>Facility Assigned    (1 or 2)</t>
  </si>
  <si>
    <t>No Svc</t>
  </si>
  <si>
    <t>Now need to recalculate the Resource Utilization for Facility 1 with new numbers when using a two service faciities.</t>
  </si>
  <si>
    <t>New Total Svc Time for Fac 1 only</t>
  </si>
  <si>
    <t>New Resource Utilization =</t>
  </si>
  <si>
    <t>(Added column J to track this) By adding a second facility, wait time becomes zero. I did the logic in my head…began with assigning first ship to Fac 1.</t>
  </si>
  <si>
    <t xml:space="preserve">By adding a second facility, the Resource utilization decreased from approximately 88% to 58%. </t>
  </si>
  <si>
    <t>for 20 days</t>
  </si>
  <si>
    <t>if next ship arrives for svc and previous ship Svc End is still in progress (ie. Svc End &gt; Arrival Time), I assigned the ship to Facility 2.  Repeat until all 10 ships are done.</t>
  </si>
  <si>
    <t>Subtract out extra 1.5 days past 20 days in cell D64 since it won't finish</t>
  </si>
  <si>
    <t>Work:  (total svc time for only Facility 1)/20 days which is K64/20</t>
  </si>
  <si>
    <t>Work: Total Svc Time - 1.5/Total time in svc(limited to 20 days)</t>
  </si>
  <si>
    <t>Work: Total Wait Time/# ships serviced  (H64/10)</t>
  </si>
  <si>
    <t>Work: Total wait time/6</t>
  </si>
  <si>
    <t>Used formula in SE 4420 Introduction slides:  L= 1/T * SUM(Li, ti).   (slide 25)</t>
  </si>
  <si>
    <t>Work: =(1/30)* ((3*5) + (4 *10) + (2*6) + (3 * 9))</t>
  </si>
  <si>
    <t xml:space="preserve">See Column J for results.  Didn't end up using the idle time other than for reference.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</si>
</sst>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0.0000"/>
    <numFmt numFmtId="170" formatCode="0.0"/>
  </numFmts>
  <fonts count="9">
    <font>
      <sz val="12"/>
      <color theme="1"/>
      <name val="Aptos Narrow"/>
      <family val="2"/>
      <scheme val="minor"/>
    </font>
    <font>
      <sz val="14"/>
      <color theme="1"/>
      <name val="Aptos Narrow"/>
      <family val="2"/>
      <scheme val="minor"/>
    </font>
    <font>
      <sz val="11"/>
      <color theme="1"/>
      <name val="CMR10"/>
    </font>
    <font>
      <sz val="12"/>
      <color theme="1"/>
      <name val="CMR10"/>
    </font>
    <font>
      <b/>
      <sz val="12"/>
      <color theme="1"/>
      <name val="Aptos Narrow"/>
      <scheme val="minor"/>
    </font>
    <font>
      <b/>
      <sz val="12"/>
      <color theme="1"/>
      <name val="CMR10"/>
    </font>
    <font>
      <sz val="12"/>
      <color theme="1"/>
      <name val="Times New Roman"/>
      <family val="1"/>
    </font>
    <font>
      <sz val="12"/>
      <color theme="1"/>
      <name val="Aptos Narrow"/>
      <family val="1"/>
      <scheme val="minor"/>
    </font>
    <font>
      <sz val="11"/>
      <color theme="1"/>
      <name val="Aptos Narrow (Body)"/>
    </font>
  </fonts>
  <fills count="3">
    <fill>
      <patternFill patternType="none"/>
    </fill>
    <fill>
      <patternFill patternType="gray125"/>
    </fill>
    <fill>
      <patternFill patternType="solid">
        <fgColor theme="8" tint="0.79998168889431442"/>
        <bgColor indexed="64"/>
      </patternFill>
    </fill>
  </fills>
  <borders count="2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75">
    <xf numFmtId="0" fontId="0" fillId="0" borderId="0" xfId="0"/>
    <xf numFmtId="0" fontId="1" fillId="0" borderId="0" xfId="0" applyFont="1" applyAlignment="1">
      <alignment horizontal="center"/>
    </xf>
    <xf numFmtId="0" fontId="2" fillId="0" borderId="0" xfId="0" applyFont="1"/>
    <xf numFmtId="0" fontId="3" fillId="0" borderId="0" xfId="0" applyFont="1"/>
    <xf numFmtId="0" fontId="0" fillId="0" borderId="4" xfId="0" applyBorder="1"/>
    <xf numFmtId="0" fontId="0" fillId="0" borderId="4" xfId="0" applyBorder="1" applyAlignment="1">
      <alignment horizontal="center"/>
    </xf>
    <xf numFmtId="0" fontId="4" fillId="0" borderId="4" xfId="0" applyFont="1" applyBorder="1" applyAlignment="1">
      <alignment horizontal="center" vertical="center"/>
    </xf>
    <xf numFmtId="0" fontId="2" fillId="0" borderId="0" xfId="0" applyFont="1" applyAlignment="1">
      <alignment horizontal="left" wrapText="1"/>
    </xf>
    <xf numFmtId="0" fontId="0" fillId="0" borderId="4" xfId="0" applyBorder="1" applyAlignment="1">
      <alignment wrapText="1"/>
    </xf>
    <xf numFmtId="2" fontId="0" fillId="0" borderId="4" xfId="0" applyNumberFormat="1" applyBorder="1" applyAlignment="1">
      <alignment horizontal="center"/>
    </xf>
    <xf numFmtId="0" fontId="0" fillId="0" borderId="5" xfId="0" applyBorder="1" applyAlignment="1">
      <alignment horizontal="center"/>
    </xf>
    <xf numFmtId="0" fontId="0" fillId="0" borderId="14" xfId="0" applyBorder="1"/>
    <xf numFmtId="0" fontId="0" fillId="0" borderId="15" xfId="0" applyBorder="1"/>
    <xf numFmtId="0" fontId="0" fillId="0" borderId="1" xfId="0" applyBorder="1" applyAlignment="1">
      <alignment horizontal="center"/>
    </xf>
    <xf numFmtId="0" fontId="0" fillId="0" borderId="14" xfId="0" applyBorder="1" applyAlignment="1">
      <alignment horizontal="center"/>
    </xf>
    <xf numFmtId="2" fontId="0" fillId="0" borderId="16" xfId="0" applyNumberFormat="1" applyBorder="1" applyAlignment="1">
      <alignment horizontal="center"/>
    </xf>
    <xf numFmtId="0" fontId="0" fillId="0" borderId="0" xfId="0" applyFont="1"/>
    <xf numFmtId="0" fontId="0" fillId="2" borderId="12" xfId="0" applyFill="1" applyBorder="1"/>
    <xf numFmtId="2" fontId="0" fillId="2" borderId="9" xfId="0" applyNumberFormat="1" applyFill="1" applyBorder="1" applyAlignment="1">
      <alignment horizontal="left"/>
    </xf>
    <xf numFmtId="0" fontId="0" fillId="2" borderId="6" xfId="0" applyFill="1" applyBorder="1" applyAlignment="1">
      <alignment horizontal="center"/>
    </xf>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7" xfId="0" applyFill="1" applyBorder="1"/>
    <xf numFmtId="169" fontId="0" fillId="2" borderId="12" xfId="0" applyNumberFormat="1" applyFill="1" applyBorder="1"/>
    <xf numFmtId="10" fontId="0" fillId="2" borderId="9" xfId="0" applyNumberFormat="1" applyFill="1" applyBorder="1"/>
    <xf numFmtId="0" fontId="0" fillId="2" borderId="13" xfId="0" applyFill="1" applyBorder="1"/>
    <xf numFmtId="0" fontId="0" fillId="2" borderId="8" xfId="0" applyFill="1" applyBorder="1" applyAlignment="1">
      <alignment horizontal="left"/>
    </xf>
    <xf numFmtId="170" fontId="0" fillId="0" borderId="4" xfId="0" applyNumberFormat="1" applyBorder="1" applyAlignment="1">
      <alignment horizontal="center"/>
    </xf>
    <xf numFmtId="0" fontId="0" fillId="0" borderId="18" xfId="0" applyBorder="1" applyAlignment="1">
      <alignment horizontal="center"/>
    </xf>
    <xf numFmtId="170" fontId="0" fillId="0" borderId="18" xfId="0" applyNumberFormat="1" applyBorder="1" applyAlignment="1">
      <alignment horizontal="center"/>
    </xf>
    <xf numFmtId="0" fontId="0" fillId="0" borderId="19" xfId="0" applyBorder="1" applyAlignment="1">
      <alignment horizontal="center"/>
    </xf>
    <xf numFmtId="0" fontId="0" fillId="0" borderId="20" xfId="0" applyBorder="1" applyAlignment="1">
      <alignment horizontal="center" wrapText="1"/>
    </xf>
    <xf numFmtId="0" fontId="0" fillId="0" borderId="20" xfId="0" applyBorder="1" applyAlignment="1">
      <alignment horizontal="center"/>
    </xf>
    <xf numFmtId="0" fontId="0" fillId="0" borderId="21" xfId="0" applyBorder="1" applyAlignment="1">
      <alignment horizontal="center"/>
    </xf>
    <xf numFmtId="170" fontId="0" fillId="0" borderId="22" xfId="0" applyNumberFormat="1" applyBorder="1" applyAlignment="1">
      <alignment horizontal="center"/>
    </xf>
    <xf numFmtId="170" fontId="0" fillId="0" borderId="14" xfId="0" applyNumberFormat="1" applyBorder="1" applyAlignment="1">
      <alignment horizontal="center"/>
    </xf>
    <xf numFmtId="0" fontId="0" fillId="0" borderId="1" xfId="0" applyFill="1" applyBorder="1" applyAlignment="1">
      <alignment horizontal="center" wrapText="1"/>
    </xf>
    <xf numFmtId="170" fontId="0" fillId="0" borderId="23" xfId="0" applyNumberFormat="1" applyBorder="1" applyAlignment="1">
      <alignment horizontal="center"/>
    </xf>
    <xf numFmtId="170" fontId="0" fillId="0" borderId="1" xfId="0" applyNumberFormat="1" applyBorder="1" applyAlignment="1">
      <alignment horizontal="center"/>
    </xf>
    <xf numFmtId="170" fontId="0" fillId="0" borderId="5" xfId="0" applyNumberFormat="1" applyBorder="1" applyAlignment="1">
      <alignment horizontal="center"/>
    </xf>
    <xf numFmtId="0" fontId="0" fillId="2" borderId="3" xfId="0" applyFill="1" applyBorder="1"/>
    <xf numFmtId="0" fontId="0" fillId="2" borderId="0" xfId="0" applyFill="1" applyBorder="1"/>
    <xf numFmtId="0" fontId="0" fillId="0" borderId="0" xfId="0" applyFill="1" applyBorder="1"/>
    <xf numFmtId="170" fontId="0" fillId="0" borderId="16" xfId="0" applyNumberFormat="1" applyBorder="1" applyAlignment="1">
      <alignment horizontal="center"/>
    </xf>
    <xf numFmtId="170" fontId="0" fillId="0" borderId="0" xfId="0" applyNumberFormat="1" applyFill="1" applyBorder="1"/>
    <xf numFmtId="0" fontId="0" fillId="0" borderId="0" xfId="0" applyBorder="1"/>
    <xf numFmtId="0" fontId="7" fillId="0" borderId="0" xfId="0" applyFont="1"/>
    <xf numFmtId="0" fontId="6" fillId="0" borderId="0" xfId="0" applyFont="1"/>
    <xf numFmtId="170" fontId="0" fillId="0" borderId="4" xfId="0" applyNumberFormat="1" applyFill="1" applyBorder="1" applyAlignment="1">
      <alignment horizontal="center"/>
    </xf>
    <xf numFmtId="170" fontId="0" fillId="0" borderId="18" xfId="0" applyNumberFormat="1" applyFill="1" applyBorder="1" applyAlignment="1">
      <alignment horizontal="center"/>
    </xf>
    <xf numFmtId="0" fontId="2" fillId="0" borderId="0" xfId="0" applyFont="1" applyFill="1"/>
    <xf numFmtId="0" fontId="0" fillId="0" borderId="0" xfId="0" applyFill="1"/>
    <xf numFmtId="170" fontId="0" fillId="0" borderId="14" xfId="0" applyNumberFormat="1" applyFill="1" applyBorder="1" applyAlignment="1">
      <alignment horizontal="center"/>
    </xf>
    <xf numFmtId="0" fontId="0" fillId="0" borderId="19" xfId="0" applyFill="1" applyBorder="1" applyAlignment="1">
      <alignment horizontal="center" wrapText="1"/>
    </xf>
    <xf numFmtId="0" fontId="0" fillId="0" borderId="17" xfId="0" applyFill="1" applyBorder="1" applyAlignment="1">
      <alignment horizontal="center" wrapText="1"/>
    </xf>
    <xf numFmtId="0" fontId="0" fillId="0" borderId="24" xfId="0" applyNumberFormat="1" applyFill="1" applyBorder="1" applyAlignment="1">
      <alignment horizontal="center"/>
    </xf>
    <xf numFmtId="0" fontId="0" fillId="0" borderId="14" xfId="0" applyNumberFormat="1" applyBorder="1" applyAlignment="1">
      <alignment horizontal="center"/>
    </xf>
    <xf numFmtId="0" fontId="0" fillId="0" borderId="14" xfId="0" applyNumberFormat="1" applyFill="1" applyBorder="1" applyAlignment="1">
      <alignment horizontal="center"/>
    </xf>
    <xf numFmtId="0" fontId="0" fillId="0" borderId="5" xfId="0" applyBorder="1"/>
    <xf numFmtId="2" fontId="0" fillId="2" borderId="12" xfId="0" applyNumberFormat="1" applyFill="1" applyBorder="1" applyAlignment="1">
      <alignment horizontal="left"/>
    </xf>
    <xf numFmtId="170" fontId="0" fillId="0" borderId="6" xfId="0" applyNumberFormat="1" applyBorder="1"/>
    <xf numFmtId="2" fontId="0" fillId="2" borderId="0" xfId="0" applyNumberFormat="1" applyFill="1" applyBorder="1" applyAlignment="1">
      <alignment horizontal="left"/>
    </xf>
    <xf numFmtId="0" fontId="0" fillId="2" borderId="25" xfId="0" applyFill="1" applyBorder="1"/>
    <xf numFmtId="0" fontId="0" fillId="2" borderId="26" xfId="0" applyFill="1" applyBorder="1"/>
    <xf numFmtId="0" fontId="8" fillId="2" borderId="8" xfId="0" applyFont="1" applyFill="1" applyBorder="1"/>
    <xf numFmtId="170" fontId="0" fillId="2" borderId="1" xfId="0" applyNumberFormat="1" applyFill="1" applyBorder="1"/>
    <xf numFmtId="0" fontId="0" fillId="2" borderId="2" xfId="0" applyFill="1" applyBorder="1" applyAlignment="1">
      <alignment horizontal="right"/>
    </xf>
    <xf numFmtId="2" fontId="0" fillId="2" borderId="17" xfId="0" applyNumberFormat="1" applyFill="1" applyBorder="1" applyAlignment="1">
      <alignment horizontal="center" vertical="center"/>
    </xf>
    <xf numFmtId="170" fontId="0" fillId="0" borderId="1" xfId="0" applyNumberFormat="1" applyFill="1" applyBorder="1"/>
    <xf numFmtId="0" fontId="6" fillId="2" borderId="8" xfId="0" applyFont="1" applyFill="1" applyBorder="1" applyAlignment="1">
      <alignment horizontal="left"/>
    </xf>
    <xf numFmtId="0" fontId="6" fillId="2" borderId="10" xfId="0" applyFont="1" applyFill="1" applyBorder="1"/>
    <xf numFmtId="0" fontId="6" fillId="2" borderId="13" xfId="0" applyFont="1" applyFill="1" applyBorder="1"/>
    <xf numFmtId="0" fontId="2"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0F190-CF79-E348-AB7C-CAE8FD85C26B}">
  <dimension ref="A1:N81"/>
  <sheetViews>
    <sheetView tabSelected="1" topLeftCell="A61" zoomScale="140" workbookViewId="0">
      <selection activeCell="H83" sqref="H83"/>
    </sheetView>
  </sheetViews>
  <sheetFormatPr baseColWidth="10" defaultRowHeight="16"/>
  <cols>
    <col min="4" max="4" width="13.1640625" customWidth="1"/>
    <col min="5" max="5" width="16.33203125" customWidth="1"/>
    <col min="6" max="6" width="10.6640625" customWidth="1"/>
    <col min="7" max="7" width="13.83203125" customWidth="1"/>
    <col min="8" max="8" width="13.6640625" customWidth="1"/>
    <col min="9" max="9" width="12.33203125" customWidth="1"/>
  </cols>
  <sheetData>
    <row r="1" spans="1:9" ht="19">
      <c r="A1" s="1" t="s">
        <v>0</v>
      </c>
      <c r="B1" s="1"/>
      <c r="C1" s="1"/>
      <c r="D1" s="1"/>
      <c r="E1" s="1"/>
      <c r="F1" s="1"/>
      <c r="G1" s="1"/>
      <c r="H1" s="1"/>
      <c r="I1" s="1"/>
    </row>
    <row r="3" spans="1:9">
      <c r="A3" s="3" t="s">
        <v>34</v>
      </c>
    </row>
    <row r="5" spans="1:9">
      <c r="B5" t="s">
        <v>68</v>
      </c>
    </row>
    <row r="6" spans="1:9" ht="17" thickBot="1"/>
    <row r="7" spans="1:9" ht="17" thickBot="1">
      <c r="B7" s="6" t="s">
        <v>1</v>
      </c>
      <c r="C7" s="6" t="s">
        <v>2</v>
      </c>
      <c r="E7" s="68" t="s">
        <v>4</v>
      </c>
      <c r="F7" s="69">
        <f>(1/30) *((3*5) + (4*10) + (2*6) + (3*9))</f>
        <v>3.1333333333333333</v>
      </c>
      <c r="G7" s="42" t="s">
        <v>3</v>
      </c>
    </row>
    <row r="8" spans="1:9">
      <c r="B8" s="5">
        <v>3</v>
      </c>
      <c r="C8" s="5">
        <v>5</v>
      </c>
      <c r="E8" t="s">
        <v>8</v>
      </c>
    </row>
    <row r="9" spans="1:9">
      <c r="B9" s="5">
        <v>4</v>
      </c>
      <c r="C9" s="5">
        <v>10</v>
      </c>
      <c r="E9" t="s">
        <v>69</v>
      </c>
    </row>
    <row r="10" spans="1:9">
      <c r="B10" s="5">
        <v>2</v>
      </c>
      <c r="C10" s="5">
        <v>6</v>
      </c>
    </row>
    <row r="11" spans="1:9">
      <c r="B11" s="5">
        <v>3</v>
      </c>
      <c r="C11" s="5">
        <v>9</v>
      </c>
    </row>
    <row r="13" spans="1:9">
      <c r="A13" s="3" t="s">
        <v>33</v>
      </c>
    </row>
    <row r="15" spans="1:9">
      <c r="A15" s="2" t="s">
        <v>5</v>
      </c>
    </row>
    <row r="17" spans="1:14">
      <c r="A17" s="2" t="s">
        <v>6</v>
      </c>
    </row>
    <row r="19" spans="1:14">
      <c r="A19" s="2" t="s">
        <v>7</v>
      </c>
    </row>
    <row r="21" spans="1:14">
      <c r="A21" s="7" t="s">
        <v>29</v>
      </c>
      <c r="B21" s="7"/>
      <c r="C21" s="7"/>
      <c r="D21" s="7"/>
      <c r="E21" s="7"/>
      <c r="F21" s="7"/>
      <c r="G21" s="7"/>
      <c r="H21" s="7"/>
      <c r="I21" s="7"/>
      <c r="J21" s="7"/>
      <c r="K21" s="7"/>
      <c r="L21" s="7"/>
      <c r="M21" s="7"/>
      <c r="N21" s="7"/>
    </row>
    <row r="22" spans="1:14">
      <c r="A22" s="7"/>
      <c r="B22" s="7"/>
      <c r="C22" s="7"/>
      <c r="D22" s="7"/>
      <c r="E22" s="7"/>
      <c r="F22" s="7"/>
      <c r="G22" s="7"/>
      <c r="H22" s="7"/>
      <c r="I22" s="7"/>
      <c r="J22" s="7"/>
      <c r="K22" s="7"/>
      <c r="L22" s="7"/>
      <c r="M22" s="7"/>
      <c r="N22" s="7"/>
    </row>
    <row r="23" spans="1:14">
      <c r="A23" s="7"/>
      <c r="B23" s="7"/>
      <c r="C23" s="7"/>
      <c r="D23" s="7"/>
      <c r="E23" s="7"/>
      <c r="F23" s="7"/>
      <c r="G23" s="7"/>
      <c r="H23" s="7"/>
      <c r="I23" s="7"/>
      <c r="J23" s="7"/>
      <c r="K23" s="7"/>
      <c r="L23" s="7"/>
      <c r="M23" s="7"/>
      <c r="N23" s="7"/>
    </row>
    <row r="25" spans="1:14" ht="51">
      <c r="B25" s="4" t="s">
        <v>9</v>
      </c>
      <c r="C25" s="8" t="s">
        <v>18</v>
      </c>
      <c r="D25" s="8" t="s">
        <v>17</v>
      </c>
      <c r="E25" s="4" t="s">
        <v>10</v>
      </c>
      <c r="F25" s="4" t="s">
        <v>11</v>
      </c>
      <c r="G25" s="4" t="s">
        <v>19</v>
      </c>
      <c r="H25" s="4" t="s">
        <v>12</v>
      </c>
      <c r="I25" s="4" t="s">
        <v>13</v>
      </c>
      <c r="J25" s="8" t="s">
        <v>14</v>
      </c>
      <c r="K25" s="8" t="s">
        <v>15</v>
      </c>
    </row>
    <row r="26" spans="1:14">
      <c r="B26" s="5">
        <v>1</v>
      </c>
      <c r="C26" s="5">
        <v>0</v>
      </c>
      <c r="D26" s="5">
        <v>2.2000000000000002</v>
      </c>
      <c r="E26" s="5">
        <f>C26</f>
        <v>0</v>
      </c>
      <c r="F26" s="5">
        <v>0</v>
      </c>
      <c r="G26" s="5">
        <f>F26 + D26</f>
        <v>2.2000000000000002</v>
      </c>
      <c r="H26" s="9">
        <v>0</v>
      </c>
      <c r="I26" s="5">
        <v>0</v>
      </c>
      <c r="J26" s="5">
        <v>0</v>
      </c>
      <c r="K26" s="5">
        <v>1</v>
      </c>
    </row>
    <row r="27" spans="1:14">
      <c r="B27" s="5">
        <v>2</v>
      </c>
      <c r="C27" s="5">
        <v>1.4</v>
      </c>
      <c r="D27" s="5">
        <v>1.2</v>
      </c>
      <c r="E27" s="5">
        <f>E26 +C27</f>
        <v>1.4</v>
      </c>
      <c r="F27" s="5">
        <v>2.2000000000000002</v>
      </c>
      <c r="G27" s="5">
        <f>F27 +D27</f>
        <v>3.4000000000000004</v>
      </c>
      <c r="H27" s="9">
        <f>F27-E27</f>
        <v>0.80000000000000027</v>
      </c>
      <c r="I27" s="5">
        <v>0</v>
      </c>
      <c r="J27" s="5">
        <v>1</v>
      </c>
      <c r="K27" s="5">
        <v>0</v>
      </c>
    </row>
    <row r="28" spans="1:14">
      <c r="B28" s="5">
        <v>3</v>
      </c>
      <c r="C28" s="5">
        <v>2.1</v>
      </c>
      <c r="D28" s="5">
        <v>0.3</v>
      </c>
      <c r="E28" s="5">
        <f>E27 + C28</f>
        <v>3.5</v>
      </c>
      <c r="F28" s="5">
        <v>3.5</v>
      </c>
      <c r="G28" s="5">
        <f>F28 +D28</f>
        <v>3.8</v>
      </c>
      <c r="H28" s="9">
        <f t="shared" ref="H28:H31" si="0">F28-E28</f>
        <v>0</v>
      </c>
      <c r="I28" s="5">
        <f>E28-G27</f>
        <v>9.9999999999999645E-2</v>
      </c>
      <c r="J28" s="5">
        <v>0</v>
      </c>
      <c r="K28" s="5">
        <v>0</v>
      </c>
    </row>
    <row r="29" spans="1:14">
      <c r="B29" s="5">
        <v>4</v>
      </c>
      <c r="C29" s="5">
        <v>1.9</v>
      </c>
      <c r="D29" s="5">
        <v>2.8</v>
      </c>
      <c r="E29" s="5">
        <f t="shared" ref="E29:E31" si="1">E28 + C29</f>
        <v>5.4</v>
      </c>
      <c r="F29" s="5">
        <v>5.4</v>
      </c>
      <c r="G29" s="5">
        <f>F29 + D29</f>
        <v>8.1999999999999993</v>
      </c>
      <c r="H29" s="9">
        <f t="shared" si="0"/>
        <v>0</v>
      </c>
      <c r="I29" s="5">
        <f>F29-G28</f>
        <v>1.6000000000000005</v>
      </c>
      <c r="J29" s="5">
        <v>0</v>
      </c>
      <c r="K29" s="5">
        <v>1</v>
      </c>
    </row>
    <row r="30" spans="1:14" ht="17" thickBot="1">
      <c r="B30" s="5">
        <v>5</v>
      </c>
      <c r="C30" s="5">
        <v>0.2</v>
      </c>
      <c r="D30" s="5">
        <v>0.2</v>
      </c>
      <c r="E30" s="5">
        <f t="shared" si="1"/>
        <v>5.6000000000000005</v>
      </c>
      <c r="F30" s="5">
        <f>G29</f>
        <v>8.1999999999999993</v>
      </c>
      <c r="G30" s="10">
        <f>F30 + D30</f>
        <v>8.3999999999999986</v>
      </c>
      <c r="H30" s="9">
        <f t="shared" si="0"/>
        <v>2.5999999999999988</v>
      </c>
      <c r="I30" s="5">
        <f>F30-G29</f>
        <v>0</v>
      </c>
      <c r="J30" s="5">
        <v>1</v>
      </c>
      <c r="K30" s="5">
        <v>2</v>
      </c>
    </row>
    <row r="31" spans="1:14" ht="17" thickBot="1">
      <c r="B31" s="5">
        <v>6</v>
      </c>
      <c r="C31" s="5">
        <v>1.5</v>
      </c>
      <c r="D31" s="10">
        <v>1.8</v>
      </c>
      <c r="E31" s="5">
        <f t="shared" si="1"/>
        <v>7.1000000000000005</v>
      </c>
      <c r="F31" s="14">
        <f>G30</f>
        <v>8.3999999999999986</v>
      </c>
      <c r="G31" s="13">
        <f>F31 + D31</f>
        <v>10.199999999999999</v>
      </c>
      <c r="H31" s="15">
        <f t="shared" si="0"/>
        <v>1.299999999999998</v>
      </c>
      <c r="I31" s="10">
        <f>F31-G30</f>
        <v>0</v>
      </c>
      <c r="J31" s="10">
        <v>2</v>
      </c>
      <c r="K31" s="10">
        <v>0</v>
      </c>
    </row>
    <row r="32" spans="1:14" ht="17" thickBot="1">
      <c r="B32" s="4" t="s">
        <v>25</v>
      </c>
      <c r="C32" s="11" t="s">
        <v>16</v>
      </c>
      <c r="D32" s="13">
        <f>SUM(D26:D31)</f>
        <v>8.5</v>
      </c>
      <c r="E32" s="12"/>
      <c r="F32" s="11"/>
      <c r="G32" s="20" t="s">
        <v>20</v>
      </c>
      <c r="H32" s="18">
        <f>SUM(H26:H31)</f>
        <v>4.6999999999999975</v>
      </c>
      <c r="I32" s="19">
        <f>SUM(I26:I31)</f>
        <v>1.7000000000000002</v>
      </c>
      <c r="J32" s="20">
        <v>2</v>
      </c>
      <c r="K32" s="21" t="s">
        <v>23</v>
      </c>
    </row>
    <row r="33" spans="1:11" ht="17" thickBot="1">
      <c r="G33" s="22" t="s">
        <v>27</v>
      </c>
      <c r="H33" s="23"/>
      <c r="I33" s="24" t="s">
        <v>26</v>
      </c>
      <c r="J33" s="22">
        <v>0</v>
      </c>
      <c r="K33" s="23" t="s">
        <v>24</v>
      </c>
    </row>
    <row r="34" spans="1:11" ht="17" thickBot="1">
      <c r="B34" s="20" t="s">
        <v>28</v>
      </c>
      <c r="C34" s="17"/>
      <c r="D34" s="25">
        <f>D32/G31</f>
        <v>0.83333333333333337</v>
      </c>
      <c r="E34" s="26">
        <f>D34</f>
        <v>0.83333333333333337</v>
      </c>
    </row>
    <row r="35" spans="1:11" ht="17" thickBot="1">
      <c r="B35" s="22" t="s">
        <v>35</v>
      </c>
      <c r="C35" s="27"/>
      <c r="D35" s="27"/>
      <c r="E35" s="23"/>
      <c r="G35" s="28" t="s">
        <v>21</v>
      </c>
      <c r="H35" s="17"/>
      <c r="I35" s="18">
        <f>H32/6</f>
        <v>0.78333333333333288</v>
      </c>
    </row>
    <row r="36" spans="1:11" ht="17" thickBot="1">
      <c r="G36" s="22" t="s">
        <v>22</v>
      </c>
      <c r="H36" s="27" t="s">
        <v>67</v>
      </c>
      <c r="I36" s="23"/>
    </row>
    <row r="38" spans="1:11">
      <c r="A38" s="3" t="s">
        <v>30</v>
      </c>
      <c r="B38" s="16"/>
      <c r="C38" s="16"/>
      <c r="D38" s="16"/>
      <c r="E38" s="16"/>
      <c r="F38" s="16"/>
      <c r="G38" s="16"/>
      <c r="H38" s="16"/>
      <c r="I38" s="16"/>
      <c r="J38" s="16"/>
      <c r="K38" s="16"/>
    </row>
    <row r="39" spans="1:11">
      <c r="A39" s="16"/>
      <c r="B39" s="16"/>
      <c r="C39" s="16"/>
      <c r="D39" s="16"/>
      <c r="E39" s="16"/>
      <c r="F39" s="16"/>
      <c r="G39" s="16"/>
      <c r="H39" s="16"/>
      <c r="I39" s="16"/>
      <c r="J39" s="16"/>
      <c r="K39" s="16"/>
    </row>
    <row r="40" spans="1:11">
      <c r="A40" s="3" t="s">
        <v>31</v>
      </c>
      <c r="B40" s="16"/>
      <c r="C40" s="16"/>
      <c r="D40" s="16"/>
      <c r="E40" s="16"/>
      <c r="F40" s="16"/>
      <c r="G40" s="16"/>
      <c r="H40" s="16"/>
      <c r="I40" s="16"/>
      <c r="J40" s="16"/>
      <c r="K40" s="16"/>
    </row>
    <row r="41" spans="1:11">
      <c r="A41" s="3" t="s">
        <v>32</v>
      </c>
      <c r="B41" s="16"/>
      <c r="C41" s="16"/>
      <c r="D41" s="16"/>
      <c r="E41" s="16"/>
      <c r="F41" s="16"/>
      <c r="G41" s="16"/>
      <c r="H41" s="16"/>
      <c r="I41" s="16"/>
      <c r="J41" s="16"/>
      <c r="K41" s="16"/>
    </row>
    <row r="42" spans="1:11" ht="17" thickBot="1"/>
    <row r="43" spans="1:11" ht="69" thickBot="1">
      <c r="B43" s="32" t="s">
        <v>36</v>
      </c>
      <c r="C43" s="33" t="s">
        <v>37</v>
      </c>
      <c r="D43" s="34" t="s">
        <v>39</v>
      </c>
      <c r="E43" s="34" t="s">
        <v>38</v>
      </c>
      <c r="F43" s="33" t="s">
        <v>40</v>
      </c>
      <c r="G43" s="35" t="s">
        <v>41</v>
      </c>
      <c r="H43" s="38" t="s">
        <v>42</v>
      </c>
      <c r="I43" s="55" t="s">
        <v>46</v>
      </c>
      <c r="J43" s="56" t="s">
        <v>54</v>
      </c>
      <c r="K43" s="38" t="s">
        <v>57</v>
      </c>
    </row>
    <row r="44" spans="1:11">
      <c r="B44" s="30">
        <v>1</v>
      </c>
      <c r="C44" s="31">
        <v>0</v>
      </c>
      <c r="D44" s="31">
        <v>2.5</v>
      </c>
      <c r="E44" s="31">
        <v>0</v>
      </c>
      <c r="F44" s="31">
        <v>0</v>
      </c>
      <c r="G44" s="36">
        <v>2.5</v>
      </c>
      <c r="H44" s="31">
        <v>0</v>
      </c>
      <c r="I44" s="51">
        <v>0</v>
      </c>
      <c r="J44" s="57">
        <v>1</v>
      </c>
      <c r="K44" s="51">
        <v>2.5</v>
      </c>
    </row>
    <row r="45" spans="1:11">
      <c r="B45" s="5">
        <v>2</v>
      </c>
      <c r="C45" s="29">
        <v>1</v>
      </c>
      <c r="D45" s="29"/>
      <c r="E45" s="29">
        <v>1</v>
      </c>
      <c r="F45" s="29"/>
      <c r="G45" s="37"/>
      <c r="H45" s="31">
        <v>0</v>
      </c>
      <c r="I45" s="54">
        <v>0</v>
      </c>
      <c r="J45" s="58" t="s">
        <v>55</v>
      </c>
      <c r="K45" s="4"/>
    </row>
    <row r="46" spans="1:11">
      <c r="B46" s="5">
        <v>3</v>
      </c>
      <c r="C46" s="29">
        <v>1</v>
      </c>
      <c r="D46" s="29">
        <v>2</v>
      </c>
      <c r="E46" s="29">
        <v>2</v>
      </c>
      <c r="F46" s="29">
        <v>2.5</v>
      </c>
      <c r="G46" s="37">
        <v>4.5</v>
      </c>
      <c r="H46" s="29">
        <f>F46-D46</f>
        <v>0.5</v>
      </c>
      <c r="I46" s="37">
        <f>E46-G44</f>
        <v>-0.5</v>
      </c>
      <c r="J46" s="58">
        <v>2</v>
      </c>
      <c r="K46" s="4"/>
    </row>
    <row r="47" spans="1:11">
      <c r="B47" s="5">
        <v>4</v>
      </c>
      <c r="C47" s="29">
        <v>1</v>
      </c>
      <c r="D47" s="29"/>
      <c r="E47" s="29">
        <v>3</v>
      </c>
      <c r="F47" s="29"/>
      <c r="G47" s="37"/>
      <c r="H47" s="29">
        <f>F47-D47</f>
        <v>0</v>
      </c>
      <c r="I47" s="37">
        <v>0</v>
      </c>
      <c r="J47" s="58" t="s">
        <v>55</v>
      </c>
      <c r="K47" s="4"/>
    </row>
    <row r="48" spans="1:11">
      <c r="B48" s="5">
        <v>5</v>
      </c>
      <c r="C48" s="29">
        <v>1</v>
      </c>
      <c r="D48" s="29">
        <v>3</v>
      </c>
      <c r="E48" s="29">
        <v>4</v>
      </c>
      <c r="F48" s="29">
        <v>4.5</v>
      </c>
      <c r="G48" s="37">
        <v>7.5</v>
      </c>
      <c r="H48" s="29">
        <f>F48-D48</f>
        <v>1.5</v>
      </c>
      <c r="I48" s="37">
        <f>E48-G46</f>
        <v>-0.5</v>
      </c>
      <c r="J48" s="59">
        <v>1</v>
      </c>
      <c r="K48" s="50">
        <v>3</v>
      </c>
    </row>
    <row r="49" spans="2:11">
      <c r="B49" s="5">
        <v>6</v>
      </c>
      <c r="C49" s="29">
        <v>1</v>
      </c>
      <c r="D49" s="29">
        <v>1.5</v>
      </c>
      <c r="E49" s="29">
        <v>5</v>
      </c>
      <c r="F49" s="29">
        <v>7.5</v>
      </c>
      <c r="G49" s="37">
        <v>9</v>
      </c>
      <c r="H49" s="29">
        <f>F49-D49</f>
        <v>6</v>
      </c>
      <c r="I49" s="37">
        <f>E49-G48</f>
        <v>-2.5</v>
      </c>
      <c r="J49" s="58">
        <v>2</v>
      </c>
      <c r="K49" s="4"/>
    </row>
    <row r="50" spans="2:11">
      <c r="B50" s="5">
        <v>7</v>
      </c>
      <c r="C50" s="29">
        <v>1</v>
      </c>
      <c r="D50" s="29"/>
      <c r="E50" s="29">
        <v>6</v>
      </c>
      <c r="F50" s="29"/>
      <c r="G50" s="37"/>
      <c r="H50" s="29">
        <f>F50-D50</f>
        <v>0</v>
      </c>
      <c r="I50" s="37">
        <v>0</v>
      </c>
      <c r="J50" s="58" t="s">
        <v>55</v>
      </c>
      <c r="K50" s="4"/>
    </row>
    <row r="51" spans="2:11">
      <c r="B51" s="5">
        <v>8</v>
      </c>
      <c r="C51" s="29">
        <v>1</v>
      </c>
      <c r="D51" s="29">
        <v>2</v>
      </c>
      <c r="E51" s="29">
        <v>7</v>
      </c>
      <c r="F51" s="29">
        <v>9</v>
      </c>
      <c r="G51" s="37">
        <v>11</v>
      </c>
      <c r="H51" s="29">
        <f>F51-D51</f>
        <v>7</v>
      </c>
      <c r="I51" s="37">
        <f>E51-G49</f>
        <v>-2</v>
      </c>
      <c r="J51" s="58">
        <v>1</v>
      </c>
      <c r="K51" s="50">
        <v>2</v>
      </c>
    </row>
    <row r="52" spans="2:11">
      <c r="B52" s="5">
        <v>9</v>
      </c>
      <c r="C52" s="29">
        <v>1</v>
      </c>
      <c r="D52" s="29">
        <v>1</v>
      </c>
      <c r="E52" s="29">
        <v>8</v>
      </c>
      <c r="F52" s="29">
        <v>11</v>
      </c>
      <c r="G52" s="37">
        <v>12</v>
      </c>
      <c r="H52" s="29">
        <f>F52-D52</f>
        <v>10</v>
      </c>
      <c r="I52" s="37">
        <f>E52-G51</f>
        <v>-3</v>
      </c>
      <c r="J52" s="58">
        <v>2</v>
      </c>
      <c r="K52" s="4"/>
    </row>
    <row r="53" spans="2:11">
      <c r="B53" s="5">
        <v>10</v>
      </c>
      <c r="C53" s="29">
        <v>1</v>
      </c>
      <c r="D53" s="29"/>
      <c r="E53" s="29">
        <v>9</v>
      </c>
      <c r="F53" s="29"/>
      <c r="G53" s="37"/>
      <c r="H53" s="29">
        <f t="shared" ref="H53:H55" si="2">F53-D53</f>
        <v>0</v>
      </c>
      <c r="I53" s="37">
        <v>0</v>
      </c>
      <c r="J53" s="58" t="s">
        <v>55</v>
      </c>
      <c r="K53" s="4"/>
    </row>
    <row r="54" spans="2:11">
      <c r="B54" s="5">
        <v>11</v>
      </c>
      <c r="C54" s="29">
        <v>1</v>
      </c>
      <c r="D54" s="29"/>
      <c r="E54" s="29">
        <v>10</v>
      </c>
      <c r="F54" s="29"/>
      <c r="G54" s="37"/>
      <c r="H54" s="29">
        <f t="shared" si="2"/>
        <v>0</v>
      </c>
      <c r="I54" s="37">
        <v>0</v>
      </c>
      <c r="J54" s="58" t="s">
        <v>55</v>
      </c>
      <c r="K54" s="4"/>
    </row>
    <row r="55" spans="2:11">
      <c r="B55" s="5">
        <v>12</v>
      </c>
      <c r="C55" s="29">
        <v>1</v>
      </c>
      <c r="D55" s="29"/>
      <c r="E55" s="29">
        <v>11</v>
      </c>
      <c r="F55" s="29"/>
      <c r="G55" s="37"/>
      <c r="H55" s="29">
        <f t="shared" si="2"/>
        <v>0</v>
      </c>
      <c r="I55" s="37">
        <v>0</v>
      </c>
      <c r="J55" s="58" t="s">
        <v>55</v>
      </c>
      <c r="K55" s="4"/>
    </row>
    <row r="56" spans="2:11">
      <c r="B56" s="5">
        <v>13</v>
      </c>
      <c r="C56" s="29">
        <v>1</v>
      </c>
      <c r="D56" s="29">
        <v>2</v>
      </c>
      <c r="E56" s="29">
        <v>12</v>
      </c>
      <c r="F56" s="29">
        <v>12</v>
      </c>
      <c r="G56" s="37">
        <v>14</v>
      </c>
      <c r="H56" s="29">
        <f>F56-D56</f>
        <v>10</v>
      </c>
      <c r="I56" s="37">
        <f>E56-G52</f>
        <v>0</v>
      </c>
      <c r="J56" s="58">
        <v>1</v>
      </c>
      <c r="K56" s="50">
        <v>2</v>
      </c>
    </row>
    <row r="57" spans="2:11">
      <c r="B57" s="5">
        <v>14</v>
      </c>
      <c r="C57" s="29">
        <v>1</v>
      </c>
      <c r="D57" s="29"/>
      <c r="E57" s="29">
        <v>13</v>
      </c>
      <c r="F57" s="29"/>
      <c r="G57" s="37"/>
      <c r="H57" s="29">
        <f t="shared" ref="H57:H58" si="3">F57-D57</f>
        <v>0</v>
      </c>
      <c r="I57" s="37">
        <v>0</v>
      </c>
      <c r="J57" s="58" t="s">
        <v>55</v>
      </c>
      <c r="K57" s="4"/>
    </row>
    <row r="58" spans="2:11">
      <c r="B58" s="5">
        <v>15</v>
      </c>
      <c r="C58" s="29">
        <v>1</v>
      </c>
      <c r="D58" s="29"/>
      <c r="E58" s="29">
        <v>14</v>
      </c>
      <c r="F58" s="29"/>
      <c r="G58" s="37"/>
      <c r="H58" s="29">
        <f t="shared" si="3"/>
        <v>0</v>
      </c>
      <c r="I58" s="37">
        <v>0</v>
      </c>
      <c r="J58" s="58" t="s">
        <v>55</v>
      </c>
      <c r="K58" s="4"/>
    </row>
    <row r="59" spans="2:11">
      <c r="B59" s="5">
        <v>16</v>
      </c>
      <c r="C59" s="29">
        <v>1</v>
      </c>
      <c r="D59" s="29">
        <v>0.5</v>
      </c>
      <c r="E59" s="29">
        <v>15</v>
      </c>
      <c r="F59" s="29">
        <v>15</v>
      </c>
      <c r="G59" s="37">
        <v>15.5</v>
      </c>
      <c r="H59" s="29">
        <f>F59-D59</f>
        <v>14.5</v>
      </c>
      <c r="I59" s="37">
        <f>E59-G56</f>
        <v>1</v>
      </c>
      <c r="J59" s="58">
        <v>1</v>
      </c>
      <c r="K59" s="50">
        <v>0.5</v>
      </c>
    </row>
    <row r="60" spans="2:11">
      <c r="B60" s="5">
        <v>17</v>
      </c>
      <c r="C60" s="29">
        <v>1</v>
      </c>
      <c r="D60" s="29"/>
      <c r="E60" s="29">
        <v>16</v>
      </c>
      <c r="F60" s="29"/>
      <c r="G60" s="37"/>
      <c r="H60" s="29">
        <f t="shared" ref="H60:H63" si="4">F60-D60</f>
        <v>0</v>
      </c>
      <c r="I60" s="37">
        <v>0</v>
      </c>
      <c r="J60" s="58" t="s">
        <v>55</v>
      </c>
      <c r="K60" s="4"/>
    </row>
    <row r="61" spans="2:11" ht="17" thickBot="1">
      <c r="B61" s="5">
        <v>18</v>
      </c>
      <c r="C61" s="29">
        <v>1</v>
      </c>
      <c r="D61" s="29">
        <v>1.5</v>
      </c>
      <c r="E61" s="29">
        <v>17</v>
      </c>
      <c r="F61" s="29">
        <v>17</v>
      </c>
      <c r="G61" s="39">
        <v>18.5</v>
      </c>
      <c r="H61" s="29">
        <f t="shared" si="4"/>
        <v>15.5</v>
      </c>
      <c r="I61" s="37">
        <f>E61-G59</f>
        <v>1.5</v>
      </c>
      <c r="J61" s="58">
        <v>1</v>
      </c>
      <c r="K61" s="50">
        <v>1.5</v>
      </c>
    </row>
    <row r="62" spans="2:11" ht="17" thickBot="1">
      <c r="B62" s="5">
        <v>19</v>
      </c>
      <c r="C62" s="29">
        <v>1</v>
      </c>
      <c r="D62" s="29">
        <v>3</v>
      </c>
      <c r="E62" s="29">
        <v>18</v>
      </c>
      <c r="F62" s="37">
        <v>18.5</v>
      </c>
      <c r="G62" s="40">
        <v>21.5</v>
      </c>
      <c r="H62" s="45">
        <f t="shared" si="4"/>
        <v>15.5</v>
      </c>
      <c r="I62" s="37">
        <f>E62-G61</f>
        <v>-0.5</v>
      </c>
      <c r="J62" s="58">
        <v>2</v>
      </c>
      <c r="K62" s="4"/>
    </row>
    <row r="63" spans="2:11" ht="17" thickBot="1">
      <c r="B63" s="5">
        <v>20</v>
      </c>
      <c r="C63" s="29">
        <v>1</v>
      </c>
      <c r="D63" s="41"/>
      <c r="E63" s="29">
        <v>19</v>
      </c>
      <c r="F63" s="29"/>
      <c r="G63" s="31"/>
      <c r="H63" s="41">
        <f t="shared" si="4"/>
        <v>0</v>
      </c>
      <c r="I63" s="37">
        <v>0</v>
      </c>
      <c r="J63" s="58" t="s">
        <v>55</v>
      </c>
      <c r="K63" s="60"/>
    </row>
    <row r="64" spans="2:11" ht="17" thickBot="1">
      <c r="B64" t="s">
        <v>25</v>
      </c>
      <c r="D64" s="62">
        <f>SUM(D44:D63)</f>
        <v>19</v>
      </c>
      <c r="G64" s="44"/>
      <c r="H64" s="70">
        <f>SUM(H44:H63)</f>
        <v>80.5</v>
      </c>
      <c r="I64" s="46"/>
      <c r="J64" s="47"/>
      <c r="K64" s="67">
        <f>SUM(K44:K61)</f>
        <v>11.5</v>
      </c>
    </row>
    <row r="65" spans="1:11" ht="17" thickBot="1">
      <c r="B65" s="66" t="s">
        <v>63</v>
      </c>
      <c r="C65" s="17"/>
      <c r="D65" s="17"/>
      <c r="E65" s="21"/>
    </row>
    <row r="66" spans="1:11">
      <c r="B66" s="64" t="s">
        <v>45</v>
      </c>
      <c r="C66" s="43"/>
      <c r="D66" s="63">
        <f>(D64-1.5)/20</f>
        <v>0.875</v>
      </c>
      <c r="E66" s="65"/>
      <c r="G66" s="20" t="s">
        <v>43</v>
      </c>
      <c r="H66" s="17">
        <f>H64/10</f>
        <v>8.0500000000000007</v>
      </c>
      <c r="I66" s="21" t="s">
        <v>44</v>
      </c>
    </row>
    <row r="67" spans="1:11" ht="17" thickBot="1">
      <c r="B67" s="22" t="s">
        <v>65</v>
      </c>
      <c r="C67" s="27"/>
      <c r="D67" s="27"/>
      <c r="E67" s="23"/>
      <c r="G67" s="22" t="s">
        <v>66</v>
      </c>
      <c r="H67" s="27"/>
      <c r="I67" s="23"/>
    </row>
    <row r="70" spans="1:11">
      <c r="A70" s="48" t="s">
        <v>52</v>
      </c>
    </row>
    <row r="71" spans="1:11">
      <c r="A71" s="49" t="s">
        <v>51</v>
      </c>
    </row>
    <row r="73" spans="1:11">
      <c r="A73" s="52" t="s">
        <v>47</v>
      </c>
      <c r="B73" s="53"/>
    </row>
    <row r="74" spans="1:11" ht="17" thickBot="1">
      <c r="A74" s="2" t="s">
        <v>48</v>
      </c>
    </row>
    <row r="75" spans="1:11" ht="17" thickBot="1">
      <c r="A75" s="74" t="s">
        <v>49</v>
      </c>
      <c r="B75" s="42"/>
      <c r="C75" s="49" t="s">
        <v>53</v>
      </c>
    </row>
    <row r="76" spans="1:11">
      <c r="A76" s="2" t="s">
        <v>50</v>
      </c>
      <c r="C76" s="49" t="s">
        <v>59</v>
      </c>
    </row>
    <row r="77" spans="1:11">
      <c r="C77" s="49" t="s">
        <v>62</v>
      </c>
    </row>
    <row r="78" spans="1:11">
      <c r="C78" s="49" t="s">
        <v>70</v>
      </c>
    </row>
    <row r="79" spans="1:11" ht="17" thickBot="1">
      <c r="C79" s="49" t="s">
        <v>56</v>
      </c>
    </row>
    <row r="80" spans="1:11">
      <c r="C80" s="71" t="s">
        <v>58</v>
      </c>
      <c r="D80" s="17"/>
      <c r="E80" s="61">
        <f>K64/20</f>
        <v>0.57499999999999996</v>
      </c>
      <c r="F80" s="17" t="s">
        <v>64</v>
      </c>
      <c r="G80" s="17"/>
      <c r="H80" s="17"/>
      <c r="I80" s="17"/>
      <c r="J80" s="17"/>
      <c r="K80" s="21"/>
    </row>
    <row r="81" spans="3:11" ht="17" thickBot="1">
      <c r="C81" s="72" t="s">
        <v>61</v>
      </c>
      <c r="D81" s="27"/>
      <c r="E81" s="73" t="s">
        <v>60</v>
      </c>
      <c r="F81" s="27"/>
      <c r="G81" s="27"/>
      <c r="H81" s="27"/>
      <c r="I81" s="27"/>
      <c r="J81" s="27"/>
      <c r="K81" s="23"/>
    </row>
  </sheetData>
  <mergeCells count="2">
    <mergeCell ref="A1:I1"/>
    <mergeCell ref="A21:N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Kuhn, Diana (CIV)</dc:creator>
  <cp:lastModifiedBy>Kuhn, Diana (CIV)</cp:lastModifiedBy>
  <dcterms:created xsi:type="dcterms:W3CDTF">2026-01-09T14:25:49Z</dcterms:created>
  <dcterms:modified xsi:type="dcterms:W3CDTF">2026-01-10T15:09:19Z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bbd4a6-dc2f-44d9-ad2c-c28d4679873f_Enabled">
    <vt:lpwstr>true</vt:lpwstr>
  </property>
  <property fmtid="{D5CDD505-2E9C-101B-9397-08002B2CF9AE}" pid="3" name="MSIP_Label_acbbd4a6-dc2f-44d9-ad2c-c28d4679873f_SetDate">
    <vt:lpwstr>2026-01-10T04:28:56Z</vt:lpwstr>
  </property>
  <property fmtid="{D5CDD505-2E9C-101B-9397-08002B2CF9AE}" pid="4" name="MSIP_Label_acbbd4a6-dc2f-44d9-ad2c-c28d4679873f_Method">
    <vt:lpwstr>Standard</vt:lpwstr>
  </property>
  <property fmtid="{D5CDD505-2E9C-101B-9397-08002B2CF9AE}" pid="5" name="MSIP_Label_acbbd4a6-dc2f-44d9-ad2c-c28d4679873f_Name">
    <vt:lpwstr>No Label</vt:lpwstr>
  </property>
  <property fmtid="{D5CDD505-2E9C-101B-9397-08002B2CF9AE}" pid="6" name="MSIP_Label_acbbd4a6-dc2f-44d9-ad2c-c28d4679873f_SiteId">
    <vt:lpwstr>6d936231-a517-40ea-9199-f7578963378e</vt:lpwstr>
  </property>
  <property fmtid="{D5CDD505-2E9C-101B-9397-08002B2CF9AE}" pid="7" name="MSIP_Label_acbbd4a6-dc2f-44d9-ad2c-c28d4679873f_ActionId">
    <vt:lpwstr>4572a2c5-f4c1-467d-92b6-eed8dbe4e584</vt:lpwstr>
  </property>
  <property fmtid="{D5CDD505-2E9C-101B-9397-08002B2CF9AE}" pid="8" name="MSIP_Label_acbbd4a6-dc2f-44d9-ad2c-c28d4679873f_ContentBits">
    <vt:lpwstr>0</vt:lpwstr>
  </property>
  <property fmtid="{D5CDD505-2E9C-101B-9397-08002B2CF9AE}" pid="9" name="MSIP_Label_acbbd4a6-dc2f-44d9-ad2c-c28d4679873f_Tag">
    <vt:lpwstr>50, 3, 0, 1</vt:lpwstr>
  </property>
</Properties>
</file>