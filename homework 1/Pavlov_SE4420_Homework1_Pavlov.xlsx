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339ffb8f3ceff6/Documents/NPS/SE4420 Modeling and Simulation in Acq/"/>
    </mc:Choice>
  </mc:AlternateContent>
  <xr:revisionPtr revIDLastSave="0" documentId="8_{712B25D2-6BEF-4A2A-B134-7C3FA1F1A425}" xr6:coauthVersionLast="47" xr6:coauthVersionMax="47" xr10:uidLastSave="{00000000-0000-0000-0000-000000000000}"/>
  <bookViews>
    <workbookView xWindow="14295" yWindow="0" windowWidth="14610" windowHeight="15585" activeTab="1" xr2:uid="{8DF5EAB5-12E3-46F9-B2AD-C5D897653C09}"/>
  </bookViews>
  <sheets>
    <sheet name="1, 2" sheetId="1" r:id="rId1"/>
    <sheet name="3,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7" i="2" l="1"/>
  <c r="J97" i="2"/>
  <c r="K95" i="2"/>
  <c r="P95" i="2"/>
  <c r="K90" i="2"/>
  <c r="O94" i="2"/>
  <c r="J94" i="2"/>
  <c r="P81" i="2"/>
  <c r="O91" i="2"/>
  <c r="N91" i="2"/>
  <c r="J90" i="2"/>
  <c r="K88" i="2"/>
  <c r="I90" i="2"/>
  <c r="K85" i="2"/>
  <c r="J88" i="2"/>
  <c r="I88" i="2"/>
  <c r="J85" i="2"/>
  <c r="K80" i="2"/>
  <c r="I85" i="2"/>
  <c r="O81" i="2"/>
  <c r="P78" i="2"/>
  <c r="N81" i="2"/>
  <c r="J80" i="2"/>
  <c r="K77" i="2"/>
  <c r="I80" i="2"/>
  <c r="O78" i="2"/>
  <c r="P75" i="2"/>
  <c r="N78" i="2"/>
  <c r="J77" i="2"/>
  <c r="M75" i="2"/>
  <c r="I77" i="2"/>
  <c r="K73" i="2" s="1"/>
  <c r="O75" i="2"/>
  <c r="I52" i="2"/>
  <c r="L47" i="2"/>
  <c r="H50" i="2"/>
  <c r="J29" i="2"/>
  <c r="J31" i="2"/>
  <c r="J32" i="2"/>
  <c r="J34" i="2"/>
  <c r="J35" i="2"/>
  <c r="J39" i="2"/>
  <c r="J42" i="2"/>
  <c r="J44" i="2"/>
  <c r="J45" i="2"/>
  <c r="J27" i="2"/>
  <c r="L32" i="2"/>
  <c r="L45" i="2"/>
  <c r="L44" i="2"/>
  <c r="L42" i="2"/>
  <c r="L39" i="2"/>
  <c r="L35" i="2"/>
  <c r="L34" i="2"/>
  <c r="L31" i="2"/>
  <c r="L29" i="2"/>
  <c r="E48" i="2"/>
  <c r="I62" i="1"/>
  <c r="E54" i="1"/>
  <c r="H60" i="1"/>
  <c r="H59" i="1"/>
  <c r="H58" i="1"/>
  <c r="H56" i="1"/>
  <c r="H57" i="1"/>
  <c r="J52" i="1"/>
  <c r="I52" i="1"/>
  <c r="H52" i="1"/>
  <c r="J51" i="1"/>
  <c r="I51" i="1"/>
  <c r="H51" i="1"/>
  <c r="J50" i="1"/>
  <c r="I50" i="1"/>
  <c r="K48" i="1"/>
  <c r="I49" i="1"/>
  <c r="J49" i="1" s="1"/>
  <c r="K49" i="1" s="1"/>
  <c r="J48" i="1"/>
  <c r="I48" i="1"/>
  <c r="H48" i="1"/>
  <c r="J47" i="1"/>
  <c r="I47" i="1"/>
  <c r="G49" i="1"/>
  <c r="G50" i="1" s="1"/>
  <c r="G51" i="1" s="1"/>
  <c r="G52" i="1" s="1"/>
  <c r="G48" i="1"/>
  <c r="G47" i="1"/>
  <c r="I37" i="1"/>
  <c r="I32" i="1"/>
  <c r="I33" i="1"/>
  <c r="I34" i="1"/>
  <c r="I31" i="1"/>
  <c r="F35" i="1"/>
  <c r="D34" i="1"/>
  <c r="D33" i="1"/>
  <c r="D32" i="1"/>
  <c r="E32" i="1"/>
  <c r="E31" i="1"/>
  <c r="E33" i="1" l="1"/>
  <c r="E34" i="1" s="1"/>
</calcChain>
</file>

<file path=xl/sharedStrings.xml><?xml version="1.0" encoding="utf-8"?>
<sst xmlns="http://schemas.openxmlformats.org/spreadsheetml/2006/main" count="66" uniqueCount="43">
  <si>
    <t>min</t>
  </si>
  <si>
    <t>que total lengthlength</t>
  </si>
  <si>
    <t>start</t>
  </si>
  <si>
    <t>end</t>
  </si>
  <si>
    <t>que duration</t>
  </si>
  <si>
    <t>elapsed time</t>
  </si>
  <si>
    <t>ave que length</t>
  </si>
  <si>
    <t>time</t>
  </si>
  <si>
    <t>service length</t>
  </si>
  <si>
    <t>service end</t>
  </si>
  <si>
    <t>wait time</t>
  </si>
  <si>
    <t>na</t>
  </si>
  <si>
    <t>que interval</t>
  </si>
  <si>
    <t>no</t>
  </si>
  <si>
    <t>time enter que.</t>
  </si>
  <si>
    <t>serv. Start</t>
  </si>
  <si>
    <t>serv. End</t>
  </si>
  <si>
    <t>idle time</t>
  </si>
  <si>
    <t>min que length</t>
  </si>
  <si>
    <t>max que length</t>
  </si>
  <si>
    <t>no of services</t>
  </si>
  <si>
    <t>total que time</t>
  </si>
  <si>
    <t>ave wait time</t>
  </si>
  <si>
    <t>total idle time</t>
  </si>
  <si>
    <t>resource utilization</t>
  </si>
  <si>
    <t>serv. Time sum</t>
  </si>
  <si>
    <t>ship</t>
  </si>
  <si>
    <t>interval time</t>
  </si>
  <si>
    <t>service time</t>
  </si>
  <si>
    <t>arrival time</t>
  </si>
  <si>
    <t>service start</t>
  </si>
  <si>
    <t>total</t>
  </si>
  <si>
    <t>average wait time</t>
  </si>
  <si>
    <t>20 day resource utilization</t>
  </si>
  <si>
    <t>fraction</t>
  </si>
  <si>
    <t>7/8</t>
  </si>
  <si>
    <t>1)</t>
  </si>
  <si>
    <t>2)</t>
  </si>
  <si>
    <t>dock 1</t>
  </si>
  <si>
    <t>dock 2</t>
  </si>
  <si>
    <t>total in in use</t>
  </si>
  <si>
    <t>total idle</t>
  </si>
  <si>
    <t>utilization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</si>
</sst>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9" fontId="0" fillId="0" borderId="0" xfId="2" applyFont="1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0" borderId="2" xfId="0" applyNumberFormat="1" applyFill="1" applyBorder="1"/>
    <xf numFmtId="164" fontId="0" fillId="0" borderId="3" xfId="0" applyNumberFormat="1" applyFill="1" applyBorder="1"/>
    <xf numFmtId="0" fontId="2" fillId="0" borderId="0" xfId="0" applyFont="1"/>
    <xf numFmtId="164" fontId="2" fillId="0" borderId="0" xfId="0" applyNumberFormat="1" applyFont="1"/>
    <xf numFmtId="9" fontId="2" fillId="0" borderId="0" xfId="2" applyFont="1"/>
    <xf numFmtId="0" fontId="2" fillId="0" borderId="0" xfId="0" quotePrefix="1" applyFont="1"/>
    <xf numFmtId="2" fontId="0" fillId="0" borderId="1" xfId="1" applyNumberFormat="1" applyFont="1" applyBorder="1"/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164" fontId="0" fillId="2" borderId="1" xfId="0" applyNumberFormat="1" applyFill="1" applyBorder="1"/>
    <xf numFmtId="2" fontId="0" fillId="3" borderId="1" xfId="1" applyNumberFormat="1" applyFont="1" applyFill="1" applyBorder="1"/>
    <xf numFmtId="2" fontId="0" fillId="2" borderId="1" xfId="1" applyNumberFormat="1" applyFont="1" applyFill="1" applyBorder="1"/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400051</xdr:colOff>
      <xdr:row>1</xdr:row>
      <xdr:rowOff>95250</xdr:rowOff>
    </xdr:from>
    <xdr:to>
      <xdr:col>9</xdr:col>
      <xdr:colOff>531496</xdr:colOff>
      <xdr:row>25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F7067-EC29-070F-FDDF-D988D5B7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1" y="285750"/>
          <a:ext cx="4732020" cy="460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66675</xdr:rowOff>
    </xdr:from>
    <xdr:to>
      <xdr:col>9</xdr:col>
      <xdr:colOff>352425</xdr:colOff>
      <xdr:row>23</xdr:row>
      <xdr:rowOff>117743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9CBBA3-63E9-A458-8483-6E9EFA15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66675"/>
          <a:ext cx="5000625" cy="4432568"/>
        </a:xfrm>
        <a:prstGeom prst="rect">
          <a:avLst/>
        </a:prstGeom>
      </xdr:spPr>
    </xdr:pic>
    <xdr:clientData/>
  </xdr:twoCellAnchor>
  <xdr:twoCellAnchor>
    <xdr:from>
      <xdr:col>9</xdr:col>
      <xdr:colOff>476250</xdr:colOff>
      <xdr:row>48</xdr:row>
      <xdr:rowOff>38100</xdr:rowOff>
    </xdr:from>
    <xdr:to>
      <xdr:col>12</xdr:col>
      <xdr:colOff>476250</xdr:colOff>
      <xdr:row>53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03CA0EE-949C-519A-C942-7C2DD69A1CBF}"/>
            </a:ext>
          </a:extLst>
        </xdr:cNvPr>
        <xdr:cNvSpPr/>
      </xdr:nvSpPr>
      <xdr:spPr>
        <a:xfrm>
          <a:off x="5962650" y="9182100"/>
          <a:ext cx="1828800" cy="1085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 used 20-2.5 for my active</a:t>
          </a:r>
          <a:r>
            <a:rPr lang="en-US" sz="1100" baseline="0"/>
            <a:t> time beause all of the services actually went past the 20 day period we observed. </a:t>
          </a:r>
          <a:endParaRPr lang="en-US" sz="1100"/>
        </a:p>
      </xdr:txBody>
    </xdr:sp>
    <xdr:clientData/>
  </xdr:twoCellAnchor>
  <xdr:twoCellAnchor editAs="oneCell">
    <xdr:from>
      <xdr:col>1</xdr:col>
      <xdr:colOff>552450</xdr:colOff>
      <xdr:row>57</xdr:row>
      <xdr:rowOff>95250</xdr:rowOff>
    </xdr:from>
    <xdr:to>
      <xdr:col>11</xdr:col>
      <xdr:colOff>124616</xdr:colOff>
      <xdr:row>68</xdr:row>
      <xdr:rowOff>181279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526750-104A-46DB-99CD-88FCA0E6C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" y="10953750"/>
          <a:ext cx="5668166" cy="2181529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62</xdr:row>
      <xdr:rowOff>123825</xdr:rowOff>
    </xdr:from>
    <xdr:to>
      <xdr:col>10</xdr:col>
      <xdr:colOff>171450</xdr:colOff>
      <xdr:row>65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A2AA3BB-CEA8-4D84-8793-AD68426A58B2}"/>
            </a:ext>
          </a:extLst>
        </xdr:cNvPr>
        <xdr:cNvSpPr/>
      </xdr:nvSpPr>
      <xdr:spPr>
        <a:xfrm>
          <a:off x="4029075" y="11934825"/>
          <a:ext cx="2238375" cy="628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Answer</a:t>
          </a:r>
        </a:p>
        <a:p>
          <a:pPr algn="l"/>
          <a:r>
            <a:rPr lang="en-US" sz="1100"/>
            <a:t>C.</a:t>
          </a:r>
          <a:r>
            <a:rPr lang="en-US" sz="1100" baseline="0"/>
            <a:t> it will decrease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77A8-75FB-47E4-BDC5-3B13B15AE1BF}">
  <dimension ref="B28:K62"/>
  <sheetViews>
    <sheetView workbookViewId="0">
      <selection activeCell="L28" sqref="L28"/>
    </sheetView>
  </sheetViews>
  <sheetFormatPr defaultRowHeight="15" x14ac:dyDescent="0.25"/>
  <cols>
    <col min="7" max="7" width="14.140625" bestFit="1" customWidth="1"/>
  </cols>
  <sheetData>
    <row r="28" spans="2:9" x14ac:dyDescent="0.25">
      <c r="B28" s="8" t="s">
        <v>36</v>
      </c>
      <c r="D28" t="s">
        <v>1</v>
      </c>
      <c r="F28">
        <v>30</v>
      </c>
      <c r="G28" t="s">
        <v>0</v>
      </c>
    </row>
    <row r="30" spans="2:9" x14ac:dyDescent="0.25">
      <c r="D30" t="s">
        <v>2</v>
      </c>
      <c r="E30" t="s">
        <v>3</v>
      </c>
      <c r="F30" t="s">
        <v>5</v>
      </c>
      <c r="G30" t="s">
        <v>4</v>
      </c>
    </row>
    <row r="31" spans="2:9" x14ac:dyDescent="0.25">
      <c r="D31">
        <v>0</v>
      </c>
      <c r="E31">
        <f>D31+F31</f>
        <v>5</v>
      </c>
      <c r="F31">
        <v>5</v>
      </c>
      <c r="G31">
        <v>3</v>
      </c>
      <c r="H31" t="s">
        <v>0</v>
      </c>
      <c r="I31">
        <f>G31*F31</f>
        <v>15</v>
      </c>
    </row>
    <row r="32" spans="2:9" x14ac:dyDescent="0.25">
      <c r="D32">
        <f>E31</f>
        <v>5</v>
      </c>
      <c r="E32">
        <f>D32+F32</f>
        <v>15</v>
      </c>
      <c r="F32">
        <v>10</v>
      </c>
      <c r="G32">
        <v>4</v>
      </c>
      <c r="H32" t="s">
        <v>0</v>
      </c>
      <c r="I32">
        <f>G32*F32</f>
        <v>40</v>
      </c>
    </row>
    <row r="33" spans="2:11" x14ac:dyDescent="0.25">
      <c r="D33">
        <f>E32</f>
        <v>15</v>
      </c>
      <c r="E33">
        <f>D33+F33</f>
        <v>21</v>
      </c>
      <c r="F33">
        <v>6</v>
      </c>
      <c r="G33">
        <v>2</v>
      </c>
      <c r="H33" t="s">
        <v>0</v>
      </c>
      <c r="I33">
        <f>G33*F33</f>
        <v>12</v>
      </c>
    </row>
    <row r="34" spans="2:11" x14ac:dyDescent="0.25">
      <c r="D34">
        <f>E33</f>
        <v>21</v>
      </c>
      <c r="E34">
        <f>D34+F34</f>
        <v>30</v>
      </c>
      <c r="F34">
        <v>9</v>
      </c>
      <c r="G34">
        <v>3</v>
      </c>
      <c r="H34" t="s">
        <v>0</v>
      </c>
      <c r="I34">
        <f>G34*F34</f>
        <v>27</v>
      </c>
    </row>
    <row r="35" spans="2:11" x14ac:dyDescent="0.25">
      <c r="F35">
        <f>SUM(F31:F34)</f>
        <v>30</v>
      </c>
    </row>
    <row r="36" spans="2:11" x14ac:dyDescent="0.25">
      <c r="H36" s="8"/>
      <c r="I36" s="8" t="s">
        <v>6</v>
      </c>
    </row>
    <row r="37" spans="2:11" x14ac:dyDescent="0.25">
      <c r="I37" s="8">
        <f>SUM(I31:I34)/F35</f>
        <v>3.1333333333333333</v>
      </c>
    </row>
    <row r="46" spans="2:11" x14ac:dyDescent="0.25">
      <c r="B46" s="8" t="s">
        <v>37</v>
      </c>
      <c r="C46" t="s">
        <v>13</v>
      </c>
      <c r="D46" t="s">
        <v>12</v>
      </c>
      <c r="E46" t="s">
        <v>8</v>
      </c>
      <c r="G46" t="s">
        <v>14</v>
      </c>
      <c r="H46" t="s">
        <v>10</v>
      </c>
      <c r="I46" t="s">
        <v>15</v>
      </c>
      <c r="J46" t="s">
        <v>16</v>
      </c>
      <c r="K46" t="s">
        <v>17</v>
      </c>
    </row>
    <row r="47" spans="2:11" x14ac:dyDescent="0.25">
      <c r="C47">
        <v>1</v>
      </c>
      <c r="D47">
        <v>0</v>
      </c>
      <c r="E47">
        <v>2.2000000000000002</v>
      </c>
      <c r="G47">
        <f>D47</f>
        <v>0</v>
      </c>
      <c r="H47" t="s">
        <v>11</v>
      </c>
      <c r="I47">
        <f>G47</f>
        <v>0</v>
      </c>
      <c r="J47">
        <f>I47+E47</f>
        <v>2.2000000000000002</v>
      </c>
      <c r="K47">
        <v>0</v>
      </c>
    </row>
    <row r="48" spans="2:11" x14ac:dyDescent="0.25">
      <c r="C48">
        <v>2</v>
      </c>
      <c r="D48">
        <v>1.4</v>
      </c>
      <c r="E48">
        <v>1.2</v>
      </c>
      <c r="G48">
        <f>D48+G47</f>
        <v>1.4</v>
      </c>
      <c r="H48">
        <f>J47-G48</f>
        <v>0.80000000000000027</v>
      </c>
      <c r="I48">
        <f>G48+H48</f>
        <v>2.2000000000000002</v>
      </c>
      <c r="J48">
        <f>I48+E48</f>
        <v>3.4000000000000004</v>
      </c>
      <c r="K48">
        <f>G49-J48</f>
        <v>9.9999999999999645E-2</v>
      </c>
    </row>
    <row r="49" spans="3:11" x14ac:dyDescent="0.25">
      <c r="C49">
        <v>3</v>
      </c>
      <c r="D49">
        <v>2.1</v>
      </c>
      <c r="E49">
        <v>0.3</v>
      </c>
      <c r="G49">
        <f t="shared" ref="G49:G52" si="0">D49+G48</f>
        <v>3.5</v>
      </c>
      <c r="H49">
        <v>0</v>
      </c>
      <c r="I49">
        <f>G49+H49</f>
        <v>3.5</v>
      </c>
      <c r="J49">
        <f>I49+E49</f>
        <v>3.8</v>
      </c>
      <c r="K49">
        <f>G50-J49</f>
        <v>1.6000000000000005</v>
      </c>
    </row>
    <row r="50" spans="3:11" x14ac:dyDescent="0.25">
      <c r="C50">
        <v>4</v>
      </c>
      <c r="D50">
        <v>1.9</v>
      </c>
      <c r="E50">
        <v>2.8</v>
      </c>
      <c r="G50">
        <f t="shared" si="0"/>
        <v>5.4</v>
      </c>
      <c r="H50">
        <v>0</v>
      </c>
      <c r="I50">
        <f>G50+H50</f>
        <v>5.4</v>
      </c>
      <c r="J50">
        <f>I50+E50</f>
        <v>8.1999999999999993</v>
      </c>
      <c r="K50">
        <v>0</v>
      </c>
    </row>
    <row r="51" spans="3:11" x14ac:dyDescent="0.25">
      <c r="C51">
        <v>5</v>
      </c>
      <c r="D51">
        <v>0.2</v>
      </c>
      <c r="E51">
        <v>0.2</v>
      </c>
      <c r="G51">
        <f t="shared" si="0"/>
        <v>5.6000000000000005</v>
      </c>
      <c r="H51">
        <f>J50-G51</f>
        <v>2.5999999999999988</v>
      </c>
      <c r="I51">
        <f>G51+H51</f>
        <v>8.1999999999999993</v>
      </c>
      <c r="J51">
        <f>I51+E51</f>
        <v>8.3999999999999986</v>
      </c>
      <c r="K51">
        <v>0</v>
      </c>
    </row>
    <row r="52" spans="3:11" x14ac:dyDescent="0.25">
      <c r="C52">
        <v>6</v>
      </c>
      <c r="D52">
        <v>1.5</v>
      </c>
      <c r="E52">
        <v>1.8</v>
      </c>
      <c r="G52">
        <f t="shared" si="0"/>
        <v>7.1000000000000005</v>
      </c>
      <c r="H52">
        <f>J51-G52</f>
        <v>1.299999999999998</v>
      </c>
      <c r="I52">
        <f>G52+H52</f>
        <v>8.3999999999999986</v>
      </c>
      <c r="J52">
        <f>I52+E52</f>
        <v>10.199999999999999</v>
      </c>
      <c r="K52">
        <v>0</v>
      </c>
    </row>
    <row r="54" spans="3:11" x14ac:dyDescent="0.25">
      <c r="E54">
        <f>SUM(E47:E52)</f>
        <v>8.5</v>
      </c>
    </row>
    <row r="55" spans="3:11" x14ac:dyDescent="0.25">
      <c r="E55" t="s">
        <v>25</v>
      </c>
      <c r="H55" t="s">
        <v>7</v>
      </c>
      <c r="I55" t="s">
        <v>20</v>
      </c>
    </row>
    <row r="56" spans="3:11" x14ac:dyDescent="0.25">
      <c r="G56" s="8" t="s">
        <v>18</v>
      </c>
      <c r="H56" s="8">
        <f>MIN(H47:H52)</f>
        <v>0</v>
      </c>
      <c r="I56" s="8">
        <v>0</v>
      </c>
    </row>
    <row r="57" spans="3:11" x14ac:dyDescent="0.25">
      <c r="G57" s="8" t="s">
        <v>19</v>
      </c>
      <c r="H57" s="8">
        <f>MAX(H47:H52)</f>
        <v>2.5999999999999988</v>
      </c>
      <c r="I57" s="8">
        <v>2</v>
      </c>
    </row>
    <row r="58" spans="3:11" x14ac:dyDescent="0.25">
      <c r="G58" s="8" t="s">
        <v>21</v>
      </c>
      <c r="H58" s="8">
        <f>SUM(H47:H52)</f>
        <v>4.6999999999999975</v>
      </c>
      <c r="I58" s="8"/>
    </row>
    <row r="59" spans="3:11" x14ac:dyDescent="0.25">
      <c r="G59" s="8" t="s">
        <v>22</v>
      </c>
      <c r="H59" s="8">
        <f>AVERAGE(H48:H52)</f>
        <v>0.9399999999999995</v>
      </c>
      <c r="I59" s="8"/>
    </row>
    <row r="60" spans="3:11" x14ac:dyDescent="0.25">
      <c r="G60" s="8" t="s">
        <v>23</v>
      </c>
      <c r="H60" s="8">
        <f>SUM(K47:K52)</f>
        <v>1.7000000000000002</v>
      </c>
      <c r="I60" s="8"/>
    </row>
    <row r="62" spans="3:11" x14ac:dyDescent="0.25">
      <c r="G62" s="8" t="s">
        <v>24</v>
      </c>
      <c r="H62" s="8"/>
      <c r="I62" s="10">
        <f>(E54)/(E54+H60)</f>
        <v>0.83333333333333337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6E6A-1836-4C5A-ABE1-FA9CA5E47376}">
  <dimension ref="C26:P97"/>
  <sheetViews>
    <sheetView tabSelected="1" topLeftCell="A67" workbookViewId="0">
      <selection activeCell="F99" sqref="F99"/>
    </sheetView>
  </sheetViews>
  <sheetFormatPr defaultRowHeight="15" x14ac:dyDescent="0.25"/>
  <sheetData>
    <row r="26" spans="3:12" x14ac:dyDescent="0.25">
      <c r="C26" s="4" t="s">
        <v>26</v>
      </c>
      <c r="D26" s="4" t="s">
        <v>27</v>
      </c>
      <c r="E26" s="4" t="s">
        <v>28</v>
      </c>
      <c r="F26" s="4" t="s">
        <v>29</v>
      </c>
      <c r="G26" s="4" t="s">
        <v>30</v>
      </c>
      <c r="H26" s="4" t="s">
        <v>9</v>
      </c>
      <c r="J26" t="s">
        <v>10</v>
      </c>
      <c r="L26" t="s">
        <v>17</v>
      </c>
    </row>
    <row r="27" spans="3:12" x14ac:dyDescent="0.25">
      <c r="C27" s="4">
        <v>1</v>
      </c>
      <c r="D27" s="5">
        <v>0</v>
      </c>
      <c r="E27" s="5">
        <v>2.5</v>
      </c>
      <c r="F27" s="5">
        <v>0</v>
      </c>
      <c r="G27" s="5">
        <v>0</v>
      </c>
      <c r="H27" s="5">
        <v>2.5</v>
      </c>
      <c r="J27" s="3">
        <f>G27-F27</f>
        <v>0</v>
      </c>
      <c r="L27" s="6">
        <v>0</v>
      </c>
    </row>
    <row r="28" spans="3:12" x14ac:dyDescent="0.25">
      <c r="C28" s="4">
        <v>2</v>
      </c>
      <c r="D28" s="5">
        <v>1</v>
      </c>
      <c r="E28" s="5"/>
      <c r="F28" s="5">
        <v>1</v>
      </c>
      <c r="G28" s="5"/>
      <c r="H28" s="5"/>
      <c r="J28" s="3"/>
    </row>
    <row r="29" spans="3:12" x14ac:dyDescent="0.25">
      <c r="C29" s="4">
        <v>3</v>
      </c>
      <c r="D29" s="5">
        <v>1</v>
      </c>
      <c r="E29" s="5">
        <v>2</v>
      </c>
      <c r="F29" s="5">
        <v>2</v>
      </c>
      <c r="G29" s="5">
        <v>2.5</v>
      </c>
      <c r="H29" s="5">
        <v>4.5</v>
      </c>
      <c r="J29" s="3">
        <f t="shared" ref="J28:J46" si="0">G29-F29</f>
        <v>0.5</v>
      </c>
      <c r="L29" s="3">
        <f>G29-H27</f>
        <v>0</v>
      </c>
    </row>
    <row r="30" spans="3:12" x14ac:dyDescent="0.25">
      <c r="C30" s="4">
        <v>4</v>
      </c>
      <c r="D30" s="5">
        <v>1</v>
      </c>
      <c r="E30" s="5"/>
      <c r="F30" s="5">
        <v>3</v>
      </c>
      <c r="G30" s="5"/>
      <c r="H30" s="5"/>
      <c r="J30" s="3"/>
    </row>
    <row r="31" spans="3:12" x14ac:dyDescent="0.25">
      <c r="C31" s="4">
        <v>5</v>
      </c>
      <c r="D31" s="5">
        <v>1</v>
      </c>
      <c r="E31" s="5">
        <v>3</v>
      </c>
      <c r="F31" s="5">
        <v>4</v>
      </c>
      <c r="G31" s="5">
        <v>4.5</v>
      </c>
      <c r="H31" s="5">
        <v>7.5</v>
      </c>
      <c r="J31" s="3">
        <f t="shared" si="0"/>
        <v>0.5</v>
      </c>
      <c r="L31" s="3">
        <f>G31-H29</f>
        <v>0</v>
      </c>
    </row>
    <row r="32" spans="3:12" x14ac:dyDescent="0.25">
      <c r="C32" s="4">
        <v>6</v>
      </c>
      <c r="D32" s="5">
        <v>1</v>
      </c>
      <c r="E32" s="5">
        <v>1.5</v>
      </c>
      <c r="F32" s="5">
        <v>5</v>
      </c>
      <c r="G32" s="5">
        <v>7.5</v>
      </c>
      <c r="H32" s="5">
        <v>9</v>
      </c>
      <c r="J32" s="3">
        <f t="shared" si="0"/>
        <v>2.5</v>
      </c>
      <c r="L32" s="3">
        <f>G32-H31</f>
        <v>0</v>
      </c>
    </row>
    <row r="33" spans="3:12" x14ac:dyDescent="0.25">
      <c r="C33" s="4">
        <v>7</v>
      </c>
      <c r="D33" s="5">
        <v>1</v>
      </c>
      <c r="E33" s="5"/>
      <c r="F33" s="5">
        <v>6</v>
      </c>
      <c r="G33" s="5"/>
      <c r="H33" s="5"/>
      <c r="J33" s="3"/>
    </row>
    <row r="34" spans="3:12" x14ac:dyDescent="0.25">
      <c r="C34" s="4">
        <v>8</v>
      </c>
      <c r="D34" s="5">
        <v>1</v>
      </c>
      <c r="E34" s="5">
        <v>2</v>
      </c>
      <c r="F34" s="5">
        <v>7</v>
      </c>
      <c r="G34" s="5">
        <v>9</v>
      </c>
      <c r="H34" s="5">
        <v>11</v>
      </c>
      <c r="J34" s="3">
        <f t="shared" si="0"/>
        <v>2</v>
      </c>
      <c r="L34" s="3">
        <f>G34-H32</f>
        <v>0</v>
      </c>
    </row>
    <row r="35" spans="3:12" x14ac:dyDescent="0.25">
      <c r="C35" s="4">
        <v>9</v>
      </c>
      <c r="D35" s="5">
        <v>1</v>
      </c>
      <c r="E35" s="5">
        <v>1</v>
      </c>
      <c r="F35" s="5">
        <v>8</v>
      </c>
      <c r="G35" s="5">
        <v>11</v>
      </c>
      <c r="H35" s="5">
        <v>12</v>
      </c>
      <c r="J35" s="3">
        <f t="shared" si="0"/>
        <v>3</v>
      </c>
      <c r="L35" s="3">
        <f>G35-H34</f>
        <v>0</v>
      </c>
    </row>
    <row r="36" spans="3:12" x14ac:dyDescent="0.25">
      <c r="C36" s="4">
        <v>10</v>
      </c>
      <c r="D36" s="5">
        <v>1</v>
      </c>
      <c r="E36" s="5"/>
      <c r="F36" s="5">
        <v>9</v>
      </c>
      <c r="G36" s="5"/>
      <c r="H36" s="5"/>
      <c r="J36" s="3"/>
    </row>
    <row r="37" spans="3:12" x14ac:dyDescent="0.25">
      <c r="C37" s="4">
        <v>11</v>
      </c>
      <c r="D37" s="5">
        <v>1</v>
      </c>
      <c r="E37" s="5"/>
      <c r="F37" s="5">
        <v>10</v>
      </c>
      <c r="G37" s="5"/>
      <c r="H37" s="5"/>
      <c r="J37" s="3"/>
    </row>
    <row r="38" spans="3:12" x14ac:dyDescent="0.25">
      <c r="C38" s="4">
        <v>12</v>
      </c>
      <c r="D38" s="5">
        <v>1</v>
      </c>
      <c r="E38" s="5"/>
      <c r="F38" s="5">
        <v>11</v>
      </c>
      <c r="G38" s="5"/>
      <c r="H38" s="5"/>
      <c r="J38" s="3"/>
    </row>
    <row r="39" spans="3:12" x14ac:dyDescent="0.25">
      <c r="C39" s="4">
        <v>13</v>
      </c>
      <c r="D39" s="5">
        <v>1</v>
      </c>
      <c r="E39" s="5">
        <v>2</v>
      </c>
      <c r="F39" s="5">
        <v>12</v>
      </c>
      <c r="G39" s="5">
        <v>12</v>
      </c>
      <c r="H39" s="5">
        <v>14</v>
      </c>
      <c r="J39" s="3">
        <f t="shared" si="0"/>
        <v>0</v>
      </c>
      <c r="L39" s="3">
        <f>G39-H35</f>
        <v>0</v>
      </c>
    </row>
    <row r="40" spans="3:12" x14ac:dyDescent="0.25">
      <c r="C40" s="4">
        <v>14</v>
      </c>
      <c r="D40" s="5">
        <v>1</v>
      </c>
      <c r="E40" s="5"/>
      <c r="F40" s="5">
        <v>13</v>
      </c>
      <c r="G40" s="5"/>
      <c r="H40" s="5"/>
      <c r="J40" s="3"/>
    </row>
    <row r="41" spans="3:12" x14ac:dyDescent="0.25">
      <c r="C41" s="4">
        <v>15</v>
      </c>
      <c r="D41" s="5">
        <v>1</v>
      </c>
      <c r="E41" s="5"/>
      <c r="F41" s="5">
        <v>14</v>
      </c>
      <c r="G41" s="5"/>
      <c r="H41" s="5"/>
      <c r="J41" s="3"/>
    </row>
    <row r="42" spans="3:12" x14ac:dyDescent="0.25">
      <c r="C42" s="4">
        <v>16</v>
      </c>
      <c r="D42" s="5">
        <v>1</v>
      </c>
      <c r="E42" s="5">
        <v>0.5</v>
      </c>
      <c r="F42" s="5">
        <v>15</v>
      </c>
      <c r="G42" s="5">
        <v>15</v>
      </c>
      <c r="H42" s="5">
        <v>15.5</v>
      </c>
      <c r="J42" s="3">
        <f t="shared" si="0"/>
        <v>0</v>
      </c>
      <c r="L42" s="3">
        <f>G42-H39</f>
        <v>1</v>
      </c>
    </row>
    <row r="43" spans="3:12" x14ac:dyDescent="0.25">
      <c r="C43" s="4">
        <v>17</v>
      </c>
      <c r="D43" s="5">
        <v>1</v>
      </c>
      <c r="E43" s="5"/>
      <c r="F43" s="5">
        <v>16</v>
      </c>
      <c r="G43" s="5"/>
      <c r="H43" s="5"/>
      <c r="J43" s="3"/>
    </row>
    <row r="44" spans="3:12" x14ac:dyDescent="0.25">
      <c r="C44" s="4">
        <v>18</v>
      </c>
      <c r="D44" s="5">
        <v>1</v>
      </c>
      <c r="E44" s="5">
        <v>1.5</v>
      </c>
      <c r="F44" s="5">
        <v>17</v>
      </c>
      <c r="G44" s="5">
        <v>17</v>
      </c>
      <c r="H44" s="5">
        <v>18.5</v>
      </c>
      <c r="J44" s="3">
        <f t="shared" si="0"/>
        <v>0</v>
      </c>
      <c r="L44" s="3">
        <f>G44-H42</f>
        <v>1.5</v>
      </c>
    </row>
    <row r="45" spans="3:12" x14ac:dyDescent="0.25">
      <c r="C45" s="4">
        <v>19</v>
      </c>
      <c r="D45" s="5">
        <v>1</v>
      </c>
      <c r="E45" s="5">
        <v>3</v>
      </c>
      <c r="F45" s="5">
        <v>18</v>
      </c>
      <c r="G45" s="5">
        <v>18.5</v>
      </c>
      <c r="H45" s="5">
        <v>21.5</v>
      </c>
      <c r="J45" s="3">
        <f t="shared" si="0"/>
        <v>0.5</v>
      </c>
      <c r="L45" s="3">
        <f>G45-H44</f>
        <v>0</v>
      </c>
    </row>
    <row r="46" spans="3:12" x14ac:dyDescent="0.25">
      <c r="C46" s="4">
        <v>20</v>
      </c>
      <c r="D46" s="5">
        <v>1</v>
      </c>
      <c r="E46" s="5"/>
      <c r="F46" s="5">
        <v>19</v>
      </c>
      <c r="G46" s="5"/>
      <c r="H46" s="5"/>
      <c r="J46" s="3"/>
    </row>
    <row r="47" spans="3:12" x14ac:dyDescent="0.25">
      <c r="H47" s="7"/>
      <c r="L47" s="3">
        <f>SUM(L27:L46)</f>
        <v>2.5</v>
      </c>
    </row>
    <row r="48" spans="3:12" x14ac:dyDescent="0.25">
      <c r="D48" t="s">
        <v>31</v>
      </c>
      <c r="E48" s="3">
        <f>SUM(E27:E46)</f>
        <v>19</v>
      </c>
      <c r="L48" s="3"/>
    </row>
    <row r="50" spans="5:9" x14ac:dyDescent="0.25">
      <c r="E50" s="8" t="s">
        <v>36</v>
      </c>
      <c r="F50" s="8" t="s">
        <v>32</v>
      </c>
      <c r="G50" s="8"/>
      <c r="H50" s="9">
        <f>AVERAGE(J27:J46)</f>
        <v>0.9</v>
      </c>
    </row>
    <row r="52" spans="5:9" x14ac:dyDescent="0.25">
      <c r="E52" s="8" t="s">
        <v>37</v>
      </c>
      <c r="F52" s="8" t="s">
        <v>33</v>
      </c>
      <c r="G52" s="8"/>
      <c r="H52" s="8"/>
      <c r="I52" s="10">
        <f>(20-L47)/20</f>
        <v>0.875</v>
      </c>
    </row>
    <row r="53" spans="5:9" x14ac:dyDescent="0.25">
      <c r="E53" s="8"/>
      <c r="F53" s="8"/>
      <c r="G53" s="8"/>
      <c r="H53" s="8" t="s">
        <v>34</v>
      </c>
      <c r="I53" s="11" t="s">
        <v>35</v>
      </c>
    </row>
    <row r="71" spans="3:16" x14ac:dyDescent="0.25">
      <c r="H71" s="19" t="s">
        <v>38</v>
      </c>
      <c r="I71" s="19"/>
      <c r="J71" s="19"/>
      <c r="K71" s="19"/>
      <c r="M71" s="21" t="s">
        <v>39</v>
      </c>
      <c r="N71" s="21"/>
      <c r="O71" s="21"/>
      <c r="P71" s="21"/>
    </row>
    <row r="72" spans="3:16" x14ac:dyDescent="0.25">
      <c r="C72" s="4" t="s">
        <v>26</v>
      </c>
      <c r="D72" s="4" t="s">
        <v>27</v>
      </c>
      <c r="E72" s="4" t="s">
        <v>28</v>
      </c>
      <c r="F72" s="4" t="s">
        <v>29</v>
      </c>
      <c r="H72" s="14" t="s">
        <v>10</v>
      </c>
      <c r="I72" s="14" t="s">
        <v>30</v>
      </c>
      <c r="J72" s="14" t="s">
        <v>9</v>
      </c>
      <c r="K72" s="14" t="s">
        <v>17</v>
      </c>
      <c r="M72" s="13" t="s">
        <v>10</v>
      </c>
      <c r="N72" s="13" t="s">
        <v>30</v>
      </c>
      <c r="O72" s="13" t="s">
        <v>9</v>
      </c>
      <c r="P72" s="13" t="s">
        <v>17</v>
      </c>
    </row>
    <row r="73" spans="3:16" x14ac:dyDescent="0.25">
      <c r="C73" s="14">
        <v>1</v>
      </c>
      <c r="D73" s="15">
        <v>0</v>
      </c>
      <c r="E73" s="15">
        <v>2.5</v>
      </c>
      <c r="F73" s="15">
        <v>0</v>
      </c>
      <c r="H73" s="15">
        <v>0</v>
      </c>
      <c r="I73" s="17">
        <v>0</v>
      </c>
      <c r="J73" s="17">
        <v>2.5</v>
      </c>
      <c r="K73" s="20">
        <f>I77-J73</f>
        <v>1.5</v>
      </c>
      <c r="M73" s="4"/>
      <c r="N73" s="12"/>
      <c r="O73" s="12"/>
      <c r="P73" s="4"/>
    </row>
    <row r="74" spans="3:16" x14ac:dyDescent="0.25">
      <c r="C74" s="4">
        <v>2</v>
      </c>
      <c r="D74" s="5">
        <v>1</v>
      </c>
      <c r="E74" s="5"/>
      <c r="F74" s="5">
        <v>1</v>
      </c>
      <c r="H74" s="4"/>
      <c r="I74" s="12"/>
      <c r="J74" s="12"/>
      <c r="K74" s="4"/>
      <c r="M74" s="4"/>
      <c r="N74" s="12"/>
      <c r="O74" s="12"/>
    </row>
    <row r="75" spans="3:16" x14ac:dyDescent="0.25">
      <c r="C75" s="13">
        <v>3</v>
      </c>
      <c r="D75" s="16">
        <v>1</v>
      </c>
      <c r="E75" s="16">
        <v>2</v>
      </c>
      <c r="F75" s="16">
        <v>2</v>
      </c>
      <c r="H75" s="4"/>
      <c r="I75" s="12"/>
      <c r="J75" s="12"/>
      <c r="K75" s="4"/>
      <c r="M75" s="22">
        <f>N75</f>
        <v>2</v>
      </c>
      <c r="N75" s="18">
        <v>2</v>
      </c>
      <c r="O75" s="18">
        <f>F75+E75</f>
        <v>4</v>
      </c>
      <c r="P75" s="22">
        <f>N78-O75</f>
        <v>1</v>
      </c>
    </row>
    <row r="76" spans="3:16" x14ac:dyDescent="0.25">
      <c r="C76" s="4">
        <v>4</v>
      </c>
      <c r="D76" s="5">
        <v>1</v>
      </c>
      <c r="E76" s="5"/>
      <c r="F76" s="5">
        <v>3</v>
      </c>
      <c r="H76" s="4"/>
      <c r="I76" s="12"/>
      <c r="J76" s="12"/>
      <c r="K76" s="4"/>
      <c r="M76" s="4"/>
      <c r="N76" s="12"/>
      <c r="O76" s="12"/>
      <c r="P76" s="4"/>
    </row>
    <row r="77" spans="3:16" x14ac:dyDescent="0.25">
      <c r="C77" s="14">
        <v>5</v>
      </c>
      <c r="D77" s="15">
        <v>1</v>
      </c>
      <c r="E77" s="15">
        <v>3</v>
      </c>
      <c r="F77" s="15">
        <v>4</v>
      </c>
      <c r="H77" s="14"/>
      <c r="I77" s="17">
        <f>F77</f>
        <v>4</v>
      </c>
      <c r="J77" s="17">
        <f>F77+E77</f>
        <v>7</v>
      </c>
      <c r="K77" s="20">
        <f>I80-J77</f>
        <v>0</v>
      </c>
      <c r="M77" s="4"/>
      <c r="N77" s="12"/>
      <c r="O77" s="12"/>
      <c r="P77" s="4"/>
    </row>
    <row r="78" spans="3:16" x14ac:dyDescent="0.25">
      <c r="C78" s="13">
        <v>6</v>
      </c>
      <c r="D78" s="16">
        <v>1</v>
      </c>
      <c r="E78" s="16">
        <v>1.5</v>
      </c>
      <c r="F78" s="16">
        <v>5</v>
      </c>
      <c r="H78" s="4"/>
      <c r="I78" s="12"/>
      <c r="J78" s="12"/>
      <c r="K78" s="4"/>
      <c r="M78" s="13"/>
      <c r="N78" s="18">
        <f>F78</f>
        <v>5</v>
      </c>
      <c r="O78" s="18">
        <f>F78+E78</f>
        <v>6.5</v>
      </c>
      <c r="P78" s="22">
        <f>N81-O78</f>
        <v>1.5</v>
      </c>
    </row>
    <row r="79" spans="3:16" x14ac:dyDescent="0.25">
      <c r="C79" s="4">
        <v>7</v>
      </c>
      <c r="D79" s="5">
        <v>1</v>
      </c>
      <c r="E79" s="5"/>
      <c r="F79" s="5">
        <v>6</v>
      </c>
      <c r="H79" s="4"/>
      <c r="I79" s="12"/>
      <c r="J79" s="12"/>
      <c r="K79" s="4"/>
      <c r="M79" s="4"/>
      <c r="N79" s="12"/>
      <c r="O79" s="12"/>
      <c r="P79" s="4"/>
    </row>
    <row r="80" spans="3:16" x14ac:dyDescent="0.25">
      <c r="C80" s="14">
        <v>8</v>
      </c>
      <c r="D80" s="15">
        <v>1</v>
      </c>
      <c r="E80" s="15">
        <v>2</v>
      </c>
      <c r="F80" s="15">
        <v>7</v>
      </c>
      <c r="H80" s="14"/>
      <c r="I80" s="17">
        <f>F80</f>
        <v>7</v>
      </c>
      <c r="J80" s="17">
        <f>F80+E80</f>
        <v>9</v>
      </c>
      <c r="K80" s="20">
        <f>I85-J80</f>
        <v>3</v>
      </c>
      <c r="M80" s="4"/>
      <c r="N80" s="12"/>
      <c r="O80" s="12"/>
      <c r="P80" s="4"/>
    </row>
    <row r="81" spans="3:16" x14ac:dyDescent="0.25">
      <c r="C81" s="13">
        <v>9</v>
      </c>
      <c r="D81" s="16">
        <v>1</v>
      </c>
      <c r="E81" s="16">
        <v>1</v>
      </c>
      <c r="F81" s="16">
        <v>8</v>
      </c>
      <c r="H81" s="4"/>
      <c r="I81" s="12"/>
      <c r="J81" s="12"/>
      <c r="K81" s="4"/>
      <c r="M81" s="13"/>
      <c r="N81" s="18">
        <f>F81</f>
        <v>8</v>
      </c>
      <c r="O81" s="18">
        <f>F81+E81</f>
        <v>9</v>
      </c>
      <c r="P81" s="22">
        <f>N91-O81</f>
        <v>9</v>
      </c>
    </row>
    <row r="82" spans="3:16" x14ac:dyDescent="0.25">
      <c r="C82" s="4">
        <v>10</v>
      </c>
      <c r="D82" s="5">
        <v>1</v>
      </c>
      <c r="E82" s="5"/>
      <c r="F82" s="5">
        <v>9</v>
      </c>
      <c r="H82" s="4"/>
      <c r="I82" s="12"/>
      <c r="J82" s="12"/>
      <c r="K82" s="4"/>
      <c r="M82" s="4"/>
      <c r="N82" s="12"/>
      <c r="O82" s="12"/>
      <c r="P82" s="4"/>
    </row>
    <row r="83" spans="3:16" x14ac:dyDescent="0.25">
      <c r="C83" s="4">
        <v>11</v>
      </c>
      <c r="D83" s="5">
        <v>1</v>
      </c>
      <c r="E83" s="5"/>
      <c r="F83" s="5">
        <v>10</v>
      </c>
      <c r="H83" s="4"/>
      <c r="I83" s="12"/>
      <c r="J83" s="12"/>
      <c r="K83" s="4"/>
      <c r="M83" s="4"/>
      <c r="N83" s="12"/>
      <c r="O83" s="12"/>
      <c r="P83" s="4"/>
    </row>
    <row r="84" spans="3:16" x14ac:dyDescent="0.25">
      <c r="C84" s="4">
        <v>12</v>
      </c>
      <c r="D84" s="5">
        <v>1</v>
      </c>
      <c r="E84" s="5"/>
      <c r="F84" s="5">
        <v>11</v>
      </c>
      <c r="H84" s="4"/>
      <c r="I84" s="12"/>
      <c r="J84" s="12"/>
      <c r="K84" s="4"/>
      <c r="M84" s="4"/>
      <c r="N84" s="12"/>
      <c r="O84" s="12"/>
      <c r="P84" s="4"/>
    </row>
    <row r="85" spans="3:16" x14ac:dyDescent="0.25">
      <c r="C85" s="14">
        <v>13</v>
      </c>
      <c r="D85" s="15">
        <v>1</v>
      </c>
      <c r="E85" s="15">
        <v>2</v>
      </c>
      <c r="F85" s="15">
        <v>12</v>
      </c>
      <c r="H85" s="14"/>
      <c r="I85" s="17">
        <f>F85</f>
        <v>12</v>
      </c>
      <c r="J85" s="17">
        <f>F85+E85</f>
        <v>14</v>
      </c>
      <c r="K85" s="20">
        <f>I88-J85</f>
        <v>1</v>
      </c>
      <c r="M85" s="4"/>
      <c r="N85" s="12"/>
      <c r="O85" s="12"/>
      <c r="P85" s="4"/>
    </row>
    <row r="86" spans="3:16" x14ac:dyDescent="0.25">
      <c r="C86" s="4">
        <v>14</v>
      </c>
      <c r="D86" s="5">
        <v>1</v>
      </c>
      <c r="E86" s="5"/>
      <c r="F86" s="5">
        <v>13</v>
      </c>
      <c r="H86" s="4"/>
      <c r="I86" s="12"/>
      <c r="J86" s="12"/>
      <c r="K86" s="4"/>
      <c r="M86" s="4"/>
      <c r="N86" s="12"/>
      <c r="O86" s="12"/>
      <c r="P86" s="4"/>
    </row>
    <row r="87" spans="3:16" x14ac:dyDescent="0.25">
      <c r="C87" s="4">
        <v>15</v>
      </c>
      <c r="D87" s="5">
        <v>1</v>
      </c>
      <c r="E87" s="5"/>
      <c r="F87" s="5">
        <v>14</v>
      </c>
      <c r="H87" s="4"/>
      <c r="I87" s="12"/>
      <c r="J87" s="12"/>
      <c r="K87" s="4"/>
      <c r="M87" s="4"/>
      <c r="N87" s="12"/>
      <c r="O87" s="12"/>
      <c r="P87" s="4"/>
    </row>
    <row r="88" spans="3:16" x14ac:dyDescent="0.25">
      <c r="C88" s="14">
        <v>16</v>
      </c>
      <c r="D88" s="15">
        <v>1</v>
      </c>
      <c r="E88" s="15">
        <v>0.5</v>
      </c>
      <c r="F88" s="15">
        <v>15</v>
      </c>
      <c r="H88" s="14"/>
      <c r="I88" s="17">
        <f>F88</f>
        <v>15</v>
      </c>
      <c r="J88" s="17">
        <f>F88+E88</f>
        <v>15.5</v>
      </c>
      <c r="K88" s="20">
        <f>I90-J88</f>
        <v>1.5</v>
      </c>
      <c r="M88" s="4"/>
      <c r="N88" s="12"/>
      <c r="O88" s="12"/>
      <c r="P88" s="4"/>
    </row>
    <row r="89" spans="3:16" x14ac:dyDescent="0.25">
      <c r="C89" s="4">
        <v>17</v>
      </c>
      <c r="D89" s="5">
        <v>1</v>
      </c>
      <c r="E89" s="5"/>
      <c r="F89" s="5">
        <v>16</v>
      </c>
      <c r="H89" s="4"/>
      <c r="I89" s="12"/>
      <c r="J89" s="12"/>
      <c r="K89" s="4"/>
      <c r="M89" s="4"/>
      <c r="N89" s="12"/>
      <c r="O89" s="12"/>
      <c r="P89" s="4"/>
    </row>
    <row r="90" spans="3:16" x14ac:dyDescent="0.25">
      <c r="C90" s="14">
        <v>18</v>
      </c>
      <c r="D90" s="15">
        <v>1</v>
      </c>
      <c r="E90" s="15">
        <v>1.5</v>
      </c>
      <c r="F90" s="15">
        <v>17</v>
      </c>
      <c r="H90" s="14"/>
      <c r="I90" s="17">
        <f>F90</f>
        <v>17</v>
      </c>
      <c r="J90" s="17">
        <f>F90+E90</f>
        <v>18.5</v>
      </c>
      <c r="K90" s="20">
        <f>20-J90</f>
        <v>1.5</v>
      </c>
      <c r="M90" s="4"/>
      <c r="N90" s="12"/>
      <c r="O90" s="12"/>
      <c r="P90" s="4"/>
    </row>
    <row r="91" spans="3:16" x14ac:dyDescent="0.25">
      <c r="C91" s="13">
        <v>19</v>
      </c>
      <c r="D91" s="16">
        <v>1</v>
      </c>
      <c r="E91" s="16">
        <v>3</v>
      </c>
      <c r="F91" s="16">
        <v>18</v>
      </c>
      <c r="H91" s="4"/>
      <c r="I91" s="12"/>
      <c r="J91" s="12"/>
      <c r="K91" s="4"/>
      <c r="M91" s="13"/>
      <c r="N91" s="18">
        <f>F91</f>
        <v>18</v>
      </c>
      <c r="O91" s="18">
        <f>F91+E91</f>
        <v>21</v>
      </c>
      <c r="P91" s="13">
        <v>0</v>
      </c>
    </row>
    <row r="92" spans="3:16" x14ac:dyDescent="0.25">
      <c r="C92" s="4">
        <v>20</v>
      </c>
      <c r="D92" s="5">
        <v>1</v>
      </c>
      <c r="E92" s="5"/>
      <c r="F92" s="5">
        <v>19</v>
      </c>
      <c r="H92" s="4"/>
      <c r="I92" s="12"/>
      <c r="J92" s="12"/>
      <c r="K92" s="4"/>
      <c r="M92" s="4"/>
      <c r="N92" s="12"/>
      <c r="O92" s="12"/>
      <c r="P92" s="4"/>
    </row>
    <row r="94" spans="3:16" x14ac:dyDescent="0.25">
      <c r="H94" t="s">
        <v>40</v>
      </c>
      <c r="J94" s="2">
        <f>E73+E77+E80+E85+E88+E90</f>
        <v>11.5</v>
      </c>
      <c r="M94" t="s">
        <v>40</v>
      </c>
      <c r="O94" s="2">
        <f>E75+E78+E81+E91</f>
        <v>7.5</v>
      </c>
    </row>
    <row r="95" spans="3:16" x14ac:dyDescent="0.25">
      <c r="H95" t="s">
        <v>41</v>
      </c>
      <c r="K95" s="2">
        <f>SUM(K73:K92)</f>
        <v>8.5</v>
      </c>
      <c r="M95" t="s">
        <v>41</v>
      </c>
      <c r="P95">
        <f>SUM(P73:P91)</f>
        <v>11.5</v>
      </c>
    </row>
    <row r="97" spans="8:15" x14ac:dyDescent="0.25">
      <c r="H97" t="s">
        <v>42</v>
      </c>
      <c r="J97" s="1">
        <f>J94/20</f>
        <v>0.57499999999999996</v>
      </c>
      <c r="M97" t="s">
        <v>42</v>
      </c>
      <c r="O97" s="1">
        <f>O94/20</f>
        <v>0.375</v>
      </c>
    </row>
  </sheetData>
  <mergeCells count="2">
    <mergeCell ref="M71:P71"/>
    <mergeCell ref="H71:K7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1, 2</vt:lpstr>
      <vt:lpstr>3,4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Pavlov, Kirill (CIV)</dc:creator>
  <cp:lastModifiedBy>Pavlov, Kirill (CIV)</cp:lastModifiedBy>
  <dcterms:created xsi:type="dcterms:W3CDTF">2026-01-15T01:30:20Z</dcterms:created>
  <dcterms:modified xsi:type="dcterms:W3CDTF">2026-01-15T02:40:07Z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bbd4a6-dc2f-44d9-ad2c-c28d4679873f_Enabled">
    <vt:lpwstr>true</vt:lpwstr>
  </property>
  <property fmtid="{D5CDD505-2E9C-101B-9397-08002B2CF9AE}" pid="3" name="MSIP_Label_acbbd4a6-dc2f-44d9-ad2c-c28d4679873f_SetDate">
    <vt:lpwstr>2026-01-15T02:39:10Z</vt:lpwstr>
  </property>
  <property fmtid="{D5CDD505-2E9C-101B-9397-08002B2CF9AE}" pid="4" name="MSIP_Label_acbbd4a6-dc2f-44d9-ad2c-c28d4679873f_Method">
    <vt:lpwstr>Standard</vt:lpwstr>
  </property>
  <property fmtid="{D5CDD505-2E9C-101B-9397-08002B2CF9AE}" pid="5" name="MSIP_Label_acbbd4a6-dc2f-44d9-ad2c-c28d4679873f_Name">
    <vt:lpwstr>No Label</vt:lpwstr>
  </property>
  <property fmtid="{D5CDD505-2E9C-101B-9397-08002B2CF9AE}" pid="6" name="MSIP_Label_acbbd4a6-dc2f-44d9-ad2c-c28d4679873f_SiteId">
    <vt:lpwstr>6d936231-a517-40ea-9199-f7578963378e</vt:lpwstr>
  </property>
  <property fmtid="{D5CDD505-2E9C-101B-9397-08002B2CF9AE}" pid="7" name="MSIP_Label_acbbd4a6-dc2f-44d9-ad2c-c28d4679873f_ActionId">
    <vt:lpwstr>0f00a8d7-b36d-46de-b508-6fcd27b12088</vt:lpwstr>
  </property>
  <property fmtid="{D5CDD505-2E9C-101B-9397-08002B2CF9AE}" pid="8" name="MSIP_Label_acbbd4a6-dc2f-44d9-ad2c-c28d4679873f_ContentBits">
    <vt:lpwstr>0</vt:lpwstr>
  </property>
  <property fmtid="{D5CDD505-2E9C-101B-9397-08002B2CF9AE}" pid="9" name="MSIP_Label_acbbd4a6-dc2f-44d9-ad2c-c28d4679873f_Tag">
    <vt:lpwstr>10, 3, 0, 1</vt:lpwstr>
  </property>
</Properties>
</file>