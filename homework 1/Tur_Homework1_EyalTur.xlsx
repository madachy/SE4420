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93d32558101aea9/מסמכים/לימודים בבית הספר של הצי האמריקאי/Quarter 6/SE4420/"/>
    </mc:Choice>
  </mc:AlternateContent>
  <xr:revisionPtr revIDLastSave="276" documentId="8_{99666871-7EF2-4ADB-9E9B-66C7C5CC3717}" xr6:coauthVersionLast="47" xr6:coauthVersionMax="47" xr10:uidLastSave="{B36A30EF-2213-4B2E-A94D-1CF12C53D753}"/>
  <bookViews>
    <workbookView xWindow="-110" yWindow="-110" windowWidth="19420" windowHeight="10300" activeTab="3" xr2:uid="{2FABEFB0-2489-46CE-AEED-A3297DD51339}"/>
  </bookViews>
  <sheets>
    <sheet name="Question 1" sheetId="1" r:id="rId1"/>
    <sheet name="Question 2" sheetId="2" r:id="rId2"/>
    <sheet name="Question 3" sheetId="3" r:id="rId3"/>
    <sheet name="Question 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3" l="1"/>
  <c r="E30" i="3" s="1"/>
  <c r="E26" i="3"/>
  <c r="H10" i="3"/>
  <c r="H11" i="3"/>
  <c r="H12" i="3"/>
  <c r="H13" i="3"/>
  <c r="H14" i="3"/>
  <c r="H15" i="3"/>
  <c r="H16" i="3"/>
  <c r="H17" i="3"/>
  <c r="H18" i="3"/>
  <c r="H19" i="3"/>
  <c r="H20" i="3"/>
  <c r="H21" i="3"/>
  <c r="H22" i="3"/>
  <c r="H23" i="3"/>
  <c r="H24" i="3"/>
  <c r="H8" i="3"/>
  <c r="H9" i="3"/>
  <c r="H5" i="3"/>
  <c r="H6" i="3"/>
  <c r="H7" i="3"/>
  <c r="B23" i="2"/>
  <c r="B15" i="2"/>
  <c r="D15" i="2" s="1"/>
  <c r="F15" i="2" s="1"/>
  <c r="G15" i="2"/>
  <c r="C7" i="1"/>
  <c r="C8" i="1" s="1"/>
  <c r="E27" i="3" l="1"/>
  <c r="B16" i="2"/>
  <c r="B17" i="2" s="1"/>
  <c r="B18" i="2" s="1"/>
  <c r="B19" i="2" s="1"/>
  <c r="B20" i="2" s="1"/>
  <c r="E15" i="2"/>
  <c r="G16" i="2" l="1"/>
  <c r="D16" i="2"/>
  <c r="F16" i="2" l="1"/>
  <c r="E16" i="2"/>
  <c r="D17" i="2" l="1"/>
  <c r="G17" i="2"/>
  <c r="E17" i="2" l="1"/>
  <c r="F17" i="2"/>
  <c r="D18" i="2" l="1"/>
  <c r="G18" i="2"/>
  <c r="E18" i="2" l="1"/>
  <c r="F18" i="2"/>
  <c r="D19" i="2" l="1"/>
  <c r="G19" i="2"/>
  <c r="E19" i="2" l="1"/>
  <c r="F19" i="2"/>
  <c r="D20" i="2" l="1"/>
  <c r="G20" i="2"/>
  <c r="F23" i="2" s="1"/>
  <c r="E20" i="2" l="1"/>
  <c r="G23" i="2" s="1"/>
  <c r="F20" i="2"/>
  <c r="D23" i="2" s="1"/>
  <c r="E23" i="2" s="1"/>
</calcChain>
</file>

<file path=xl/sharedStrings.xml><?xml version="1.0" encoding="utf-8"?>
<sst xmlns="http://schemas.openxmlformats.org/spreadsheetml/2006/main" count="53" uniqueCount="41">
  <si>
    <t>The length of a queue during a 30 minute period is 3 for the first 5 minutes, 4 for the next 10 minutes, 2 for the next 6 minutes, and 3 for the last 9 minutes. What is the average queue length during this time?</t>
  </si>
  <si>
    <t>Time Period (minutes)</t>
  </si>
  <si>
    <t>Average Queue Length</t>
  </si>
  <si>
    <t>Question 1</t>
  </si>
  <si>
    <t>Question 2</t>
  </si>
  <si>
    <t>Mimimum Queue Length</t>
  </si>
  <si>
    <t>Maximum Queue Length</t>
  </si>
  <si>
    <t>Total Queue Time</t>
  </si>
  <si>
    <t>Average Waiting Time in Queue</t>
  </si>
  <si>
    <t>Total Idle Time for the Mechanic</t>
  </si>
  <si>
    <t>Resource Utilization for the Mechanic</t>
  </si>
  <si>
    <t>Queue Length (Numerator)</t>
  </si>
  <si>
    <t>Start Time</t>
  </si>
  <si>
    <t>End Time</t>
  </si>
  <si>
    <t>Wait Time</t>
  </si>
  <si>
    <t>Idle Time</t>
  </si>
  <si>
    <t>Given the following data:</t>
  </si>
  <si>
    <t>Arrival Time</t>
  </si>
  <si>
    <t>Service Time</t>
  </si>
  <si>
    <t>Cummulative Arrival Time</t>
  </si>
  <si>
    <t xml:space="preserve">Service Time </t>
  </si>
  <si>
    <t>Ship</t>
  </si>
  <si>
    <t>Interarrival Time</t>
  </si>
  <si>
    <t>Service Start</t>
  </si>
  <si>
    <t>Service End</t>
  </si>
  <si>
    <t>Waiting Time</t>
  </si>
  <si>
    <t>The average waiting time is for ships that need services so I should compute their number</t>
  </si>
  <si>
    <t>Ships that need services</t>
  </si>
  <si>
    <t>Average waiting time for ships that need services</t>
  </si>
  <si>
    <t>Total time available</t>
  </si>
  <si>
    <t>Total Service Performed (In 20 days margin)</t>
  </si>
  <si>
    <t>20-Day Resource Utilization</t>
  </si>
  <si>
    <t>Answer</t>
  </si>
  <si>
    <t>C</t>
  </si>
  <si>
    <t>When a second facility is added, ships that arrive while the first facility is busy will be routed to the second one instead of waiting. That means the first facility will handle fewer ships (less total service time), so its utilization over the 20-day period will be lower compared to the single-facility case.</t>
  </si>
  <si>
    <t>Eyal Tur</t>
  </si>
  <si>
    <t>Units used - minutes</t>
  </si>
  <si>
    <t xml:space="preserve">All calculations are in cells; no screenshots; results shown below
</t>
  </si>
  <si>
    <t>SE4420- Homework 1</t>
  </si>
  <si>
    <t>Units used - hours</t>
  </si>
  <si>
    <t>Units used -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</si>
</sst>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wrapText="1"/>
    </xf>
    <xf numFmtId="0" fontId="0" fillId="0" borderId="0" xfId="0" applyAlignment="1">
      <alignment wrapText="1"/>
    </xf>
    <xf numFmtId="0" fontId="0" fillId="2" borderId="1" xfId="0" applyFill="1" applyBorder="1"/>
    <xf numFmtId="0" fontId="1" fillId="2" borderId="1" xfId="0" applyFont="1" applyFill="1" applyBorder="1" applyAlignment="1">
      <alignment horizontal="center" wrapText="1"/>
    </xf>
    <xf numFmtId="0" fontId="0" fillId="3" borderId="1" xfId="0" applyFill="1" applyBorder="1"/>
    <xf numFmtId="0" fontId="1" fillId="3" borderId="1" xfId="0" applyFont="1" applyFill="1" applyBorder="1" applyAlignment="1">
      <alignment wrapText="1"/>
    </xf>
    <xf numFmtId="0" fontId="1" fillId="3" borderId="5" xfId="0" applyFont="1" applyFill="1" applyBorder="1" applyAlignment="1">
      <alignment wrapText="1"/>
    </xf>
    <xf numFmtId="0" fontId="0" fillId="3" borderId="5" xfId="0" applyFill="1" applyBorder="1"/>
    <xf numFmtId="0" fontId="1" fillId="4" borderId="1" xfId="0" applyFont="1" applyFill="1" applyBorder="1" applyAlignment="1">
      <alignment horizontal="right" vertical="center" wrapText="1"/>
    </xf>
    <xf numFmtId="0" fontId="0" fillId="4" borderId="1" xfId="0" applyFill="1" applyBorder="1" applyAlignment="1">
      <alignment horizontal="right" vertical="center" wrapText="1"/>
    </xf>
    <xf numFmtId="0" fontId="0" fillId="4" borderId="1" xfId="0" applyFill="1" applyBorder="1" applyAlignment="1">
      <alignment wrapText="1"/>
    </xf>
    <xf numFmtId="0" fontId="1" fillId="4" borderId="1" xfId="0" applyFont="1" applyFill="1" applyBorder="1" applyAlignment="1">
      <alignment wrapText="1"/>
    </xf>
    <xf numFmtId="0" fontId="1" fillId="2" borderId="1" xfId="0" applyFont="1" applyFill="1" applyBorder="1" applyAlignment="1">
      <alignment horizontal="center" wrapText="1"/>
    </xf>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4" borderId="1" xfId="0" applyFill="1" applyBorder="1" applyAlignment="1">
      <alignment horizontal="center" wrapText="1"/>
    </xf>
    <xf numFmtId="0" fontId="1" fillId="4" borderId="1" xfId="0" applyFont="1" applyFill="1" applyBorder="1" applyAlignment="1">
      <alignment horizontal="center" wrapText="1"/>
    </xf>
    <xf numFmtId="0" fontId="1" fillId="4" borderId="3" xfId="0" applyFont="1" applyFill="1" applyBorder="1" applyAlignment="1">
      <alignment horizontal="center" wrapText="1"/>
    </xf>
    <xf numFmtId="0" fontId="1" fillId="4" borderId="4" xfId="0" applyFont="1" applyFill="1" applyBorder="1" applyAlignment="1">
      <alignment horizontal="center" wrapText="1"/>
    </xf>
    <xf numFmtId="0" fontId="1" fillId="4" borderId="5" xfId="0" applyFont="1" applyFill="1" applyBorder="1" applyAlignment="1">
      <alignment horizontal="center" wrapText="1"/>
    </xf>
    <xf numFmtId="0" fontId="0" fillId="0" borderId="0" xfId="0" applyAlignment="1"/>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ill="1" applyBorder="1" applyAlignment="1">
      <alignment wrapText="1"/>
    </xf>
    <xf numFmtId="0" fontId="2" fillId="2" borderId="1" xfId="0" applyFont="1" applyFill="1" applyBorder="1"/>
    <xf numFmtId="0" fontId="2" fillId="2" borderId="1" xfId="0" applyFont="1" applyFill="1" applyBorder="1" applyAlignment="1">
      <alignment horizontal="center" wrapText="1"/>
    </xf>
    <xf numFmtId="0" fontId="0" fillId="3"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16DC-E3D7-4AC8-AD27-257BD543E75B}">
  <dimension ref="B2:N8"/>
  <sheetViews>
    <sheetView workbookViewId="0">
      <selection activeCell="C7" sqref="C7"/>
    </sheetView>
  </sheetViews>
  <sheetFormatPr defaultRowHeight="14.5" x14ac:dyDescent="0.35"/>
  <cols>
    <col min="2" max="2" width="19.36328125" style="4" bestFit="1" customWidth="1"/>
    <col min="4" max="4" width="34" customWidth="1"/>
    <col min="5" max="5" width="17.453125" bestFit="1" customWidth="1"/>
  </cols>
  <sheetData>
    <row r="2" spans="2:14" s="23" customFormat="1" ht="43.5" x14ac:dyDescent="0.35">
      <c r="B2" s="25" t="s">
        <v>38</v>
      </c>
      <c r="C2" s="25" t="s">
        <v>35</v>
      </c>
      <c r="D2" s="26" t="s">
        <v>37</v>
      </c>
      <c r="E2" s="25" t="s">
        <v>36</v>
      </c>
      <c r="F2" s="24"/>
    </row>
    <row r="4" spans="2:14" ht="40" customHeight="1" x14ac:dyDescent="0.35">
      <c r="B4" s="15" t="s">
        <v>0</v>
      </c>
      <c r="C4" s="15"/>
      <c r="D4" s="15"/>
      <c r="E4" s="15"/>
      <c r="F4" s="15"/>
      <c r="G4" s="15"/>
      <c r="H4" s="15"/>
      <c r="I4" s="15"/>
      <c r="J4" s="15"/>
      <c r="K4" s="15"/>
      <c r="L4" s="15"/>
      <c r="M4" s="15"/>
      <c r="N4" s="15"/>
    </row>
    <row r="5" spans="2:14" x14ac:dyDescent="0.35">
      <c r="B5" s="16" t="s">
        <v>3</v>
      </c>
      <c r="C5" s="16"/>
    </row>
    <row r="6" spans="2:14" x14ac:dyDescent="0.35">
      <c r="B6" s="3" t="s">
        <v>1</v>
      </c>
      <c r="C6" s="2">
        <v>30</v>
      </c>
    </row>
    <row r="7" spans="2:14" ht="29" x14ac:dyDescent="0.35">
      <c r="B7" s="3" t="s">
        <v>11</v>
      </c>
      <c r="C7" s="2">
        <f>3*5+4*10+2*6+3*9</f>
        <v>94</v>
      </c>
    </row>
    <row r="8" spans="2:14" x14ac:dyDescent="0.35">
      <c r="B8" s="3" t="s">
        <v>2</v>
      </c>
      <c r="C8" s="2">
        <f>$C$7/$C$6</f>
        <v>3.1333333333333333</v>
      </c>
    </row>
  </sheetData>
  <mergeCells count="2">
    <mergeCell ref="B4:N4"/>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66D5-0ADF-4DAB-92B0-B9CB2EA12E54}">
  <dimension ref="B2:G23"/>
  <sheetViews>
    <sheetView topLeftCell="A12" zoomScale="90" workbookViewId="0">
      <selection activeCell="D30" sqref="D30"/>
    </sheetView>
  </sheetViews>
  <sheetFormatPr defaultRowHeight="14.5" x14ac:dyDescent="0.35"/>
  <cols>
    <col min="2" max="2" width="19.36328125" customWidth="1"/>
    <col min="3" max="3" width="13.81640625" customWidth="1"/>
    <col min="4" max="4" width="33" style="4" customWidth="1"/>
    <col min="5" max="5" width="16.1796875" bestFit="1" customWidth="1"/>
    <col min="6" max="6" width="17.36328125" style="4" customWidth="1"/>
    <col min="7" max="7" width="13.26953125" style="4" customWidth="1"/>
    <col min="8" max="13" width="14.1796875" customWidth="1"/>
  </cols>
  <sheetData>
    <row r="2" spans="2:7" ht="43.5" x14ac:dyDescent="0.35">
      <c r="B2" s="25" t="s">
        <v>38</v>
      </c>
      <c r="C2" s="25" t="s">
        <v>35</v>
      </c>
      <c r="D2" s="26" t="s">
        <v>37</v>
      </c>
      <c r="E2" s="25" t="s">
        <v>39</v>
      </c>
    </row>
    <row r="4" spans="2:7" x14ac:dyDescent="0.35">
      <c r="B4" s="17" t="s">
        <v>4</v>
      </c>
      <c r="C4" s="17"/>
      <c r="D4" s="17"/>
      <c r="E4" s="17"/>
      <c r="F4" s="17"/>
      <c r="G4" s="17"/>
    </row>
    <row r="5" spans="2:7" x14ac:dyDescent="0.35">
      <c r="B5" s="17" t="s">
        <v>16</v>
      </c>
      <c r="C5" s="17"/>
      <c r="D5" s="6"/>
      <c r="E5" s="1"/>
      <c r="F5" s="6"/>
      <c r="G5" s="6"/>
    </row>
    <row r="6" spans="2:7" x14ac:dyDescent="0.35">
      <c r="B6" s="1" t="s">
        <v>17</v>
      </c>
      <c r="C6" s="1" t="s">
        <v>18</v>
      </c>
      <c r="D6" s="3"/>
      <c r="E6" s="1"/>
      <c r="F6" s="6"/>
      <c r="G6" s="6"/>
    </row>
    <row r="7" spans="2:7" x14ac:dyDescent="0.35">
      <c r="B7" s="5">
        <v>0</v>
      </c>
      <c r="C7" s="5">
        <v>2.2000000000000002</v>
      </c>
      <c r="D7" s="6"/>
      <c r="E7" s="1"/>
      <c r="F7" s="6"/>
      <c r="G7" s="6"/>
    </row>
    <row r="8" spans="2:7" x14ac:dyDescent="0.35">
      <c r="B8" s="5">
        <v>1.4</v>
      </c>
      <c r="C8" s="5">
        <v>1.2</v>
      </c>
      <c r="D8" s="6"/>
      <c r="E8" s="1"/>
      <c r="F8" s="6"/>
      <c r="G8" s="6"/>
    </row>
    <row r="9" spans="2:7" x14ac:dyDescent="0.35">
      <c r="B9" s="5">
        <v>2.1</v>
      </c>
      <c r="C9" s="5">
        <v>0.3</v>
      </c>
      <c r="D9" s="6"/>
      <c r="E9" s="1"/>
      <c r="F9" s="6"/>
      <c r="G9" s="6"/>
    </row>
    <row r="10" spans="2:7" x14ac:dyDescent="0.35">
      <c r="B10" s="5">
        <v>1.9</v>
      </c>
      <c r="C10" s="5">
        <v>2.8</v>
      </c>
      <c r="D10" s="6"/>
      <c r="E10" s="1"/>
      <c r="F10" s="6"/>
      <c r="G10" s="6"/>
    </row>
    <row r="11" spans="2:7" x14ac:dyDescent="0.35">
      <c r="B11" s="5">
        <v>0.2</v>
      </c>
      <c r="C11" s="5">
        <v>0.2</v>
      </c>
      <c r="D11" s="6"/>
      <c r="E11" s="1"/>
      <c r="F11" s="6"/>
      <c r="G11" s="6"/>
    </row>
    <row r="12" spans="2:7" x14ac:dyDescent="0.35">
      <c r="B12" s="5">
        <v>1.5</v>
      </c>
      <c r="C12" s="5">
        <v>1.8</v>
      </c>
      <c r="D12" s="6"/>
      <c r="E12" s="1"/>
      <c r="F12" s="6"/>
      <c r="G12" s="6"/>
    </row>
    <row r="13" spans="2:7" x14ac:dyDescent="0.35">
      <c r="B13" s="5"/>
      <c r="C13" s="5"/>
      <c r="D13" s="6"/>
      <c r="E13" s="1"/>
      <c r="F13" s="6"/>
      <c r="G13" s="6"/>
    </row>
    <row r="14" spans="2:7" ht="29" x14ac:dyDescent="0.35">
      <c r="B14" s="3" t="s">
        <v>19</v>
      </c>
      <c r="C14" s="3" t="s">
        <v>20</v>
      </c>
      <c r="D14" s="3" t="s">
        <v>12</v>
      </c>
      <c r="E14" s="2" t="s">
        <v>13</v>
      </c>
      <c r="F14" s="3" t="s">
        <v>14</v>
      </c>
      <c r="G14" s="3" t="s">
        <v>15</v>
      </c>
    </row>
    <row r="15" spans="2:7" x14ac:dyDescent="0.35">
      <c r="B15" s="5">
        <f>B7</f>
        <v>0</v>
      </c>
      <c r="C15" s="5">
        <v>2.2000000000000002</v>
      </c>
      <c r="D15" s="27">
        <f>B15</f>
        <v>0</v>
      </c>
      <c r="E15" s="5">
        <f>D15+C15</f>
        <v>2.2000000000000002</v>
      </c>
      <c r="F15" s="27">
        <f>D15-B15</f>
        <v>0</v>
      </c>
      <c r="G15" s="27">
        <f>0</f>
        <v>0</v>
      </c>
    </row>
    <row r="16" spans="2:7" x14ac:dyDescent="0.35">
      <c r="B16" s="5">
        <f>B15+B8</f>
        <v>1.4</v>
      </c>
      <c r="C16" s="5">
        <v>1.2</v>
      </c>
      <c r="D16" s="27">
        <f>MAX(B16,E15)</f>
        <v>2.2000000000000002</v>
      </c>
      <c r="E16" s="5">
        <f t="shared" ref="E16:E20" si="0">D16+C16</f>
        <v>3.4000000000000004</v>
      </c>
      <c r="F16" s="27">
        <f>D16-B16</f>
        <v>0.80000000000000027</v>
      </c>
      <c r="G16" s="27">
        <f>MAX(0,B16-E15)</f>
        <v>0</v>
      </c>
    </row>
    <row r="17" spans="2:7" x14ac:dyDescent="0.35">
      <c r="B17" s="5">
        <f t="shared" ref="B17:B20" si="1">B16+B9</f>
        <v>3.5</v>
      </c>
      <c r="C17" s="5">
        <v>0.3</v>
      </c>
      <c r="D17" s="27">
        <f t="shared" ref="D17:D20" si="2">MAX(B17,E16)</f>
        <v>3.5</v>
      </c>
      <c r="E17" s="5">
        <f t="shared" si="0"/>
        <v>3.8</v>
      </c>
      <c r="F17" s="27">
        <f t="shared" ref="F17:F20" si="3">D17-B17</f>
        <v>0</v>
      </c>
      <c r="G17" s="27">
        <f t="shared" ref="G17:G20" si="4">MAX(0,B17-E16)</f>
        <v>9.9999999999999645E-2</v>
      </c>
    </row>
    <row r="18" spans="2:7" x14ac:dyDescent="0.35">
      <c r="B18" s="5">
        <f t="shared" si="1"/>
        <v>5.4</v>
      </c>
      <c r="C18" s="5">
        <v>2.8</v>
      </c>
      <c r="D18" s="27">
        <f t="shared" si="2"/>
        <v>5.4</v>
      </c>
      <c r="E18" s="5">
        <f t="shared" si="0"/>
        <v>8.1999999999999993</v>
      </c>
      <c r="F18" s="27">
        <f t="shared" si="3"/>
        <v>0</v>
      </c>
      <c r="G18" s="27">
        <f t="shared" si="4"/>
        <v>1.6000000000000005</v>
      </c>
    </row>
    <row r="19" spans="2:7" x14ac:dyDescent="0.35">
      <c r="B19" s="5">
        <f t="shared" si="1"/>
        <v>5.6000000000000005</v>
      </c>
      <c r="C19" s="5">
        <v>0.2</v>
      </c>
      <c r="D19" s="27">
        <f t="shared" si="2"/>
        <v>8.1999999999999993</v>
      </c>
      <c r="E19" s="5">
        <f t="shared" si="0"/>
        <v>8.3999999999999986</v>
      </c>
      <c r="F19" s="27">
        <f t="shared" si="3"/>
        <v>2.5999999999999988</v>
      </c>
      <c r="G19" s="27">
        <f t="shared" si="4"/>
        <v>0</v>
      </c>
    </row>
    <row r="20" spans="2:7" x14ac:dyDescent="0.35">
      <c r="B20" s="5">
        <f t="shared" si="1"/>
        <v>7.1000000000000005</v>
      </c>
      <c r="C20" s="5">
        <v>1.8</v>
      </c>
      <c r="D20" s="27">
        <f t="shared" si="2"/>
        <v>8.3999999999999986</v>
      </c>
      <c r="E20" s="5">
        <f t="shared" si="0"/>
        <v>10.199999999999999</v>
      </c>
      <c r="F20" s="27">
        <f t="shared" si="3"/>
        <v>1.299999999999998</v>
      </c>
      <c r="G20" s="27">
        <f t="shared" si="4"/>
        <v>0</v>
      </c>
    </row>
    <row r="22" spans="2:7" ht="43.5" x14ac:dyDescent="0.35">
      <c r="B22" s="9" t="s">
        <v>5</v>
      </c>
      <c r="C22" s="8" t="s">
        <v>6</v>
      </c>
      <c r="D22" s="8" t="s">
        <v>7</v>
      </c>
      <c r="E22" s="8" t="s">
        <v>8</v>
      </c>
      <c r="F22" s="8" t="s">
        <v>9</v>
      </c>
      <c r="G22" s="8" t="s">
        <v>10</v>
      </c>
    </row>
    <row r="23" spans="2:7" x14ac:dyDescent="0.35">
      <c r="B23" s="10">
        <f>0</f>
        <v>0</v>
      </c>
      <c r="C23" s="7">
        <v>2</v>
      </c>
      <c r="D23" s="7">
        <f>SUM(F15:F20)</f>
        <v>4.6999999999999975</v>
      </c>
      <c r="E23" s="7">
        <f>D23/COUNT(B7:B12)</f>
        <v>0.78333333333333288</v>
      </c>
      <c r="F23" s="30">
        <f>SUM(G15:G20)</f>
        <v>1.7000000000000002</v>
      </c>
      <c r="G23" s="30">
        <f>SUM(C15:C20)/E20</f>
        <v>0.83333333333333337</v>
      </c>
    </row>
  </sheetData>
  <mergeCells count="2">
    <mergeCell ref="B4:G4"/>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5AF49-0D44-4055-8BF2-91759E456BFB}">
  <dimension ref="B2:H30"/>
  <sheetViews>
    <sheetView topLeftCell="A16" zoomScale="87" workbookViewId="0">
      <selection activeCell="E15" sqref="E15"/>
    </sheetView>
  </sheetViews>
  <sheetFormatPr defaultRowHeight="14.5" x14ac:dyDescent="0.35"/>
  <cols>
    <col min="2" max="2" width="18.54296875" style="4" bestFit="1" customWidth="1"/>
    <col min="3" max="3" width="10.08984375" style="4" customWidth="1"/>
    <col min="4" max="4" width="29.08984375" style="4" customWidth="1"/>
    <col min="5" max="5" width="15.90625" style="4" bestFit="1" customWidth="1"/>
    <col min="6" max="8" width="10.08984375" style="4" customWidth="1"/>
  </cols>
  <sheetData>
    <row r="2" spans="2:8" ht="58" x14ac:dyDescent="0.35">
      <c r="B2" s="25" t="s">
        <v>38</v>
      </c>
      <c r="C2" s="25" t="s">
        <v>35</v>
      </c>
      <c r="D2" s="26" t="s">
        <v>37</v>
      </c>
      <c r="E2" s="25" t="s">
        <v>40</v>
      </c>
    </row>
    <row r="4" spans="2:8" ht="29" x14ac:dyDescent="0.35">
      <c r="B4" s="11" t="s">
        <v>21</v>
      </c>
      <c r="C4" s="11" t="s">
        <v>22</v>
      </c>
      <c r="D4" s="11" t="s">
        <v>18</v>
      </c>
      <c r="E4" s="11" t="s">
        <v>17</v>
      </c>
      <c r="F4" s="11" t="s">
        <v>23</v>
      </c>
      <c r="G4" s="11" t="s">
        <v>24</v>
      </c>
      <c r="H4" s="11" t="s">
        <v>25</v>
      </c>
    </row>
    <row r="5" spans="2:8" x14ac:dyDescent="0.35">
      <c r="B5" s="12">
        <v>1</v>
      </c>
      <c r="C5" s="12">
        <v>0</v>
      </c>
      <c r="D5" s="12">
        <v>2.5</v>
      </c>
      <c r="E5" s="12">
        <v>0</v>
      </c>
      <c r="F5" s="12">
        <v>0</v>
      </c>
      <c r="G5" s="12">
        <v>2.5</v>
      </c>
      <c r="H5" s="12">
        <f>MAX(0,F5-E5)</f>
        <v>0</v>
      </c>
    </row>
    <row r="6" spans="2:8" x14ac:dyDescent="0.35">
      <c r="B6" s="12">
        <v>2</v>
      </c>
      <c r="C6" s="12">
        <v>1</v>
      </c>
      <c r="D6" s="12"/>
      <c r="E6" s="12">
        <v>1</v>
      </c>
      <c r="F6" s="12"/>
      <c r="G6" s="12"/>
      <c r="H6" s="12">
        <f>MAX(0,F6-E6)</f>
        <v>0</v>
      </c>
    </row>
    <row r="7" spans="2:8" x14ac:dyDescent="0.35">
      <c r="B7" s="12">
        <v>3</v>
      </c>
      <c r="C7" s="12">
        <v>1</v>
      </c>
      <c r="D7" s="12">
        <v>2</v>
      </c>
      <c r="E7" s="12">
        <v>2</v>
      </c>
      <c r="F7" s="12">
        <v>2.5</v>
      </c>
      <c r="G7" s="12">
        <v>4.5</v>
      </c>
      <c r="H7" s="12">
        <f>MAX(0,F7-E7)</f>
        <v>0.5</v>
      </c>
    </row>
    <row r="8" spans="2:8" x14ac:dyDescent="0.35">
      <c r="B8" s="12">
        <v>4</v>
      </c>
      <c r="C8" s="12">
        <v>1</v>
      </c>
      <c r="D8" s="12"/>
      <c r="E8" s="12">
        <v>3</v>
      </c>
      <c r="F8" s="12"/>
      <c r="G8" s="12"/>
      <c r="H8" s="12">
        <f t="shared" ref="H8:H24" si="0">MAX(0,F8-E8)</f>
        <v>0</v>
      </c>
    </row>
    <row r="9" spans="2:8" x14ac:dyDescent="0.35">
      <c r="B9" s="12">
        <v>5</v>
      </c>
      <c r="C9" s="12">
        <v>1</v>
      </c>
      <c r="D9" s="12">
        <v>3</v>
      </c>
      <c r="E9" s="12">
        <v>4</v>
      </c>
      <c r="F9" s="12">
        <v>4.5</v>
      </c>
      <c r="G9" s="12">
        <v>7.5</v>
      </c>
      <c r="H9" s="12">
        <f t="shared" si="0"/>
        <v>0.5</v>
      </c>
    </row>
    <row r="10" spans="2:8" x14ac:dyDescent="0.35">
      <c r="B10" s="12">
        <v>6</v>
      </c>
      <c r="C10" s="12">
        <v>1</v>
      </c>
      <c r="D10" s="12">
        <v>1.5</v>
      </c>
      <c r="E10" s="12">
        <v>5</v>
      </c>
      <c r="F10" s="12">
        <v>7.5</v>
      </c>
      <c r="G10" s="12">
        <v>9</v>
      </c>
      <c r="H10" s="12">
        <f t="shared" si="0"/>
        <v>2.5</v>
      </c>
    </row>
    <row r="11" spans="2:8" x14ac:dyDescent="0.35">
      <c r="B11" s="12">
        <v>7</v>
      </c>
      <c r="C11" s="12">
        <v>1</v>
      </c>
      <c r="D11" s="12"/>
      <c r="E11" s="12">
        <v>6</v>
      </c>
      <c r="F11" s="12"/>
      <c r="G11" s="12"/>
      <c r="H11" s="12">
        <f t="shared" si="0"/>
        <v>0</v>
      </c>
    </row>
    <row r="12" spans="2:8" x14ac:dyDescent="0.35">
      <c r="B12" s="12">
        <v>8</v>
      </c>
      <c r="C12" s="12">
        <v>1</v>
      </c>
      <c r="D12" s="12">
        <v>2</v>
      </c>
      <c r="E12" s="12">
        <v>7</v>
      </c>
      <c r="F12" s="12">
        <v>9</v>
      </c>
      <c r="G12" s="12">
        <v>11</v>
      </c>
      <c r="H12" s="12">
        <f t="shared" si="0"/>
        <v>2</v>
      </c>
    </row>
    <row r="13" spans="2:8" x14ac:dyDescent="0.35">
      <c r="B13" s="12">
        <v>9</v>
      </c>
      <c r="C13" s="12">
        <v>1</v>
      </c>
      <c r="D13" s="12">
        <v>1</v>
      </c>
      <c r="E13" s="12">
        <v>8</v>
      </c>
      <c r="F13" s="12">
        <v>11</v>
      </c>
      <c r="G13" s="12">
        <v>12</v>
      </c>
      <c r="H13" s="12">
        <f t="shared" si="0"/>
        <v>3</v>
      </c>
    </row>
    <row r="14" spans="2:8" x14ac:dyDescent="0.35">
      <c r="B14" s="12">
        <v>10</v>
      </c>
      <c r="C14" s="12">
        <v>1</v>
      </c>
      <c r="D14" s="12"/>
      <c r="E14" s="12">
        <v>9</v>
      </c>
      <c r="F14" s="12"/>
      <c r="G14" s="12"/>
      <c r="H14" s="12">
        <f t="shared" si="0"/>
        <v>0</v>
      </c>
    </row>
    <row r="15" spans="2:8" x14ac:dyDescent="0.35">
      <c r="B15" s="12">
        <v>11</v>
      </c>
      <c r="C15" s="12">
        <v>1</v>
      </c>
      <c r="D15" s="12"/>
      <c r="E15" s="12">
        <v>10</v>
      </c>
      <c r="F15" s="12"/>
      <c r="G15" s="12"/>
      <c r="H15" s="12">
        <f t="shared" si="0"/>
        <v>0</v>
      </c>
    </row>
    <row r="16" spans="2:8" x14ac:dyDescent="0.35">
      <c r="B16" s="12">
        <v>12</v>
      </c>
      <c r="C16" s="12">
        <v>1</v>
      </c>
      <c r="D16" s="12"/>
      <c r="E16" s="12">
        <v>11</v>
      </c>
      <c r="F16" s="12"/>
      <c r="G16" s="12"/>
      <c r="H16" s="12">
        <f t="shared" si="0"/>
        <v>0</v>
      </c>
    </row>
    <row r="17" spans="2:8" x14ac:dyDescent="0.35">
      <c r="B17" s="12">
        <v>13</v>
      </c>
      <c r="C17" s="12">
        <v>1</v>
      </c>
      <c r="D17" s="12">
        <v>2</v>
      </c>
      <c r="E17" s="12">
        <v>12</v>
      </c>
      <c r="F17" s="12">
        <v>12</v>
      </c>
      <c r="G17" s="12">
        <v>14</v>
      </c>
      <c r="H17" s="12">
        <f t="shared" si="0"/>
        <v>0</v>
      </c>
    </row>
    <row r="18" spans="2:8" x14ac:dyDescent="0.35">
      <c r="B18" s="12">
        <v>14</v>
      </c>
      <c r="C18" s="12">
        <v>1</v>
      </c>
      <c r="D18" s="12"/>
      <c r="E18" s="12">
        <v>13</v>
      </c>
      <c r="F18" s="12"/>
      <c r="G18" s="12"/>
      <c r="H18" s="12">
        <f t="shared" si="0"/>
        <v>0</v>
      </c>
    </row>
    <row r="19" spans="2:8" x14ac:dyDescent="0.35">
      <c r="B19" s="12">
        <v>15</v>
      </c>
      <c r="C19" s="12">
        <v>1</v>
      </c>
      <c r="D19" s="12"/>
      <c r="E19" s="12">
        <v>14</v>
      </c>
      <c r="F19" s="12"/>
      <c r="G19" s="12"/>
      <c r="H19" s="12">
        <f t="shared" si="0"/>
        <v>0</v>
      </c>
    </row>
    <row r="20" spans="2:8" x14ac:dyDescent="0.35">
      <c r="B20" s="12">
        <v>16</v>
      </c>
      <c r="C20" s="12">
        <v>1</v>
      </c>
      <c r="D20" s="12">
        <v>0.5</v>
      </c>
      <c r="E20" s="12">
        <v>15</v>
      </c>
      <c r="F20" s="12">
        <v>15</v>
      </c>
      <c r="G20" s="12">
        <v>15.5</v>
      </c>
      <c r="H20" s="12">
        <f t="shared" si="0"/>
        <v>0</v>
      </c>
    </row>
    <row r="21" spans="2:8" x14ac:dyDescent="0.35">
      <c r="B21" s="12">
        <v>17</v>
      </c>
      <c r="C21" s="12">
        <v>1</v>
      </c>
      <c r="D21" s="12"/>
      <c r="E21" s="12">
        <v>16</v>
      </c>
      <c r="F21" s="12"/>
      <c r="G21" s="12"/>
      <c r="H21" s="12">
        <f t="shared" si="0"/>
        <v>0</v>
      </c>
    </row>
    <row r="22" spans="2:8" x14ac:dyDescent="0.35">
      <c r="B22" s="12">
        <v>18</v>
      </c>
      <c r="C22" s="12">
        <v>1</v>
      </c>
      <c r="D22" s="12">
        <v>1.5</v>
      </c>
      <c r="E22" s="12">
        <v>17</v>
      </c>
      <c r="F22" s="12">
        <v>17</v>
      </c>
      <c r="G22" s="12">
        <v>18.5</v>
      </c>
      <c r="H22" s="12">
        <f t="shared" si="0"/>
        <v>0</v>
      </c>
    </row>
    <row r="23" spans="2:8" x14ac:dyDescent="0.35">
      <c r="B23" s="12">
        <v>19</v>
      </c>
      <c r="C23" s="12">
        <v>1</v>
      </c>
      <c r="D23" s="12">
        <v>3</v>
      </c>
      <c r="E23" s="12">
        <v>18</v>
      </c>
      <c r="F23" s="12">
        <v>18.5</v>
      </c>
      <c r="G23" s="12">
        <v>21.5</v>
      </c>
      <c r="H23" s="12">
        <f t="shared" si="0"/>
        <v>0.5</v>
      </c>
    </row>
    <row r="24" spans="2:8" x14ac:dyDescent="0.35">
      <c r="B24" s="12">
        <v>20</v>
      </c>
      <c r="C24" s="12">
        <v>1</v>
      </c>
      <c r="D24" s="12"/>
      <c r="E24" s="12">
        <v>19</v>
      </c>
      <c r="F24" s="12"/>
      <c r="G24" s="12"/>
      <c r="H24" s="12">
        <f t="shared" si="0"/>
        <v>0</v>
      </c>
    </row>
    <row r="25" spans="2:8" ht="29" customHeight="1" x14ac:dyDescent="0.35">
      <c r="B25" s="18" t="s">
        <v>26</v>
      </c>
      <c r="C25" s="18"/>
      <c r="D25" s="18"/>
      <c r="E25" s="18"/>
      <c r="F25" s="18"/>
      <c r="G25" s="18"/>
      <c r="H25" s="18"/>
    </row>
    <row r="26" spans="2:8" x14ac:dyDescent="0.35">
      <c r="B26" s="19" t="s">
        <v>27</v>
      </c>
      <c r="C26" s="19"/>
      <c r="D26" s="19"/>
      <c r="E26" s="14">
        <f>COUNTIF(D5:D24,"&gt;0")</f>
        <v>10</v>
      </c>
      <c r="F26" s="13"/>
      <c r="G26" s="13"/>
      <c r="H26" s="13"/>
    </row>
    <row r="27" spans="2:8" ht="33" customHeight="1" x14ac:dyDescent="0.35">
      <c r="B27" s="19" t="s">
        <v>28</v>
      </c>
      <c r="C27" s="19"/>
      <c r="D27" s="19"/>
      <c r="E27" s="14">
        <f>SUM(H5:H24)/E26</f>
        <v>0.9</v>
      </c>
      <c r="F27" s="13"/>
      <c r="G27" s="13"/>
      <c r="H27" s="13"/>
    </row>
    <row r="28" spans="2:8" ht="29" customHeight="1" x14ac:dyDescent="0.35">
      <c r="B28" s="19" t="s">
        <v>29</v>
      </c>
      <c r="C28" s="19"/>
      <c r="D28" s="19"/>
      <c r="E28" s="14">
        <v>20</v>
      </c>
      <c r="F28" s="13"/>
      <c r="G28" s="13"/>
      <c r="H28" s="13"/>
    </row>
    <row r="29" spans="2:8" ht="29" customHeight="1" x14ac:dyDescent="0.35">
      <c r="B29" s="20" t="s">
        <v>30</v>
      </c>
      <c r="C29" s="21"/>
      <c r="D29" s="22"/>
      <c r="E29" s="14">
        <f>SUM(D5:D24)-IF(G23&gt;20,G23-20)</f>
        <v>17.5</v>
      </c>
      <c r="F29" s="13"/>
      <c r="G29" s="13"/>
      <c r="H29" s="13"/>
    </row>
    <row r="30" spans="2:8" ht="58" customHeight="1" x14ac:dyDescent="0.35">
      <c r="B30" s="19" t="s">
        <v>31</v>
      </c>
      <c r="C30" s="19"/>
      <c r="D30" s="19"/>
      <c r="E30" s="14">
        <f>E29/E28</f>
        <v>0.875</v>
      </c>
      <c r="F30" s="13"/>
      <c r="G30" s="13"/>
      <c r="H30" s="13"/>
    </row>
  </sheetData>
  <mergeCells count="6">
    <mergeCell ref="B25:H25"/>
    <mergeCell ref="B27:D27"/>
    <mergeCell ref="B26:D26"/>
    <mergeCell ref="B28:D28"/>
    <mergeCell ref="B30:D30"/>
    <mergeCell ref="B29:D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88BA-51C2-467E-B869-9BFA2B9F45D4}">
  <dimension ref="B2:E5"/>
  <sheetViews>
    <sheetView tabSelected="1" zoomScale="110" zoomScaleNormal="110" workbookViewId="0">
      <selection activeCell="B5" sqref="B5:C5"/>
    </sheetView>
  </sheetViews>
  <sheetFormatPr defaultRowHeight="14.5" x14ac:dyDescent="0.35"/>
  <cols>
    <col min="2" max="2" width="24" customWidth="1"/>
    <col min="3" max="3" width="20.08984375" customWidth="1"/>
    <col min="4" max="4" width="30.08984375" style="4" customWidth="1"/>
    <col min="5" max="5" width="15.08984375" bestFit="1" customWidth="1"/>
  </cols>
  <sheetData>
    <row r="2" spans="2:5" ht="43.5" x14ac:dyDescent="0.35">
      <c r="B2" s="25" t="s">
        <v>38</v>
      </c>
      <c r="C2" s="25" t="s">
        <v>35</v>
      </c>
      <c r="D2" s="26" t="s">
        <v>37</v>
      </c>
      <c r="E2" s="25" t="s">
        <v>40</v>
      </c>
    </row>
    <row r="4" spans="2:5" ht="18.5" x14ac:dyDescent="0.45">
      <c r="B4" s="28" t="s">
        <v>32</v>
      </c>
      <c r="C4" s="28" t="s">
        <v>33</v>
      </c>
    </row>
    <row r="5" spans="2:5" ht="156" customHeight="1" x14ac:dyDescent="0.45">
      <c r="B5" s="29" t="s">
        <v>34</v>
      </c>
      <c r="C5" s="29"/>
    </row>
  </sheetData>
  <mergeCells count="1">
    <mergeCell ref="B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2</vt:lpstr>
      <vt:lpstr>Question 3</vt:lpstr>
      <vt:lpstr>Question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אייל טור</dc:creator>
  <cp:lastModifiedBy>אייל טור</cp:lastModifiedBy>
  <dcterms:created xsi:type="dcterms:W3CDTF">2026-01-12T19:35:27Z</dcterms:created>
  <dcterms:modified xsi:type="dcterms:W3CDTF">2026-01-14T22:53:41Z</dcterms:modified>
</cp:coreProperties>
</file>