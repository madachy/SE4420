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s01-my.sharepoint.com/personal/norman_chan_nps_edu/Documents/SE4420 Modeling and Simulation Madachy/HW 1/"/>
    </mc:Choice>
  </mc:AlternateContent>
  <xr:revisionPtr revIDLastSave="16" documentId="8_{D8A75A68-DB34-4EC3-8F38-821D6E18D097}" xr6:coauthVersionLast="47" xr6:coauthVersionMax="47" xr10:uidLastSave="{5591994C-615D-434B-9E74-F79BFCB8B596}"/>
  <bookViews>
    <workbookView xWindow="-105" yWindow="0" windowWidth="26010" windowHeight="20985" xr2:uid="{C1AE73EB-B1E0-4A9E-8C12-45A801931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0" i="1"/>
  <c r="G4" i="1"/>
  <c r="G5" i="1"/>
  <c r="G6" i="1"/>
  <c r="G7" i="1"/>
  <c r="G3" i="1"/>
  <c r="F10" i="1"/>
  <c r="F13" i="1"/>
  <c r="D5" i="1"/>
  <c r="E5" i="1" s="1"/>
  <c r="D6" i="1" s="1"/>
  <c r="D4" i="1"/>
  <c r="F4" i="1"/>
  <c r="F3" i="1"/>
  <c r="B7" i="1"/>
  <c r="B6" i="1"/>
  <c r="B5" i="1"/>
  <c r="B4" i="1"/>
  <c r="E4" i="1"/>
  <c r="F5" i="1" s="1"/>
  <c r="E3" i="1"/>
  <c r="D3" i="1"/>
  <c r="F6" i="1" l="1"/>
  <c r="E6" i="1"/>
  <c r="D7" i="1" s="1"/>
  <c r="E7" i="1" l="1"/>
  <c r="F7" i="1"/>
</calcChain>
</file>

<file path=xl/sharedStrings.xml><?xml version="1.0" encoding="utf-8"?>
<sst xmlns="http://schemas.openxmlformats.org/spreadsheetml/2006/main" count="11" uniqueCount="10">
  <si>
    <t>Helo #</t>
  </si>
  <si>
    <t>Arrival</t>
  </si>
  <si>
    <t>Service</t>
  </si>
  <si>
    <t>Start</t>
  </si>
  <si>
    <t>End</t>
  </si>
  <si>
    <t>Wait Time</t>
  </si>
  <si>
    <t>AVG</t>
  </si>
  <si>
    <t>SUM</t>
  </si>
  <si>
    <t>Idle Time</t>
  </si>
  <si>
    <t>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</si>
</sst>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443-44EE-460B-A72D-D485E946EA0C}">
  <dimension ref="A1:G13"/>
  <sheetViews>
    <sheetView tabSelected="1" workbookViewId="0">
      <selection activeCell="G14" sqref="G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 s="1">
        <v>1</v>
      </c>
      <c r="B2" s="1">
        <v>0</v>
      </c>
      <c r="C2" s="1">
        <v>2.2000000000000002</v>
      </c>
      <c r="D2" s="1">
        <v>0</v>
      </c>
      <c r="E2" s="1">
        <v>2.2000000000000002</v>
      </c>
      <c r="F2" s="1">
        <v>0</v>
      </c>
      <c r="G2" s="1">
        <v>0</v>
      </c>
    </row>
    <row r="3" spans="1:7" x14ac:dyDescent="0.25">
      <c r="A3" s="1">
        <v>2</v>
      </c>
      <c r="B3" s="1">
        <v>1.4</v>
      </c>
      <c r="C3" s="1">
        <v>1.2</v>
      </c>
      <c r="D3" s="1">
        <f>E2</f>
        <v>2.2000000000000002</v>
      </c>
      <c r="E3" s="1">
        <f>D3+C3</f>
        <v>3.4000000000000004</v>
      </c>
      <c r="F3" s="1">
        <f>MAX(E2-B3,0)</f>
        <v>0.80000000000000027</v>
      </c>
      <c r="G3" s="1">
        <f>MAX(B3-E2,0)</f>
        <v>0</v>
      </c>
    </row>
    <row r="4" spans="1:7" x14ac:dyDescent="0.25">
      <c r="A4" s="1">
        <v>3</v>
      </c>
      <c r="B4" s="1">
        <f>2.1+B3</f>
        <v>3.5</v>
      </c>
      <c r="C4" s="1">
        <v>0.3</v>
      </c>
      <c r="D4" s="1">
        <f>MAX(E3,B4)</f>
        <v>3.5</v>
      </c>
      <c r="E4" s="1">
        <f t="shared" ref="E4:E7" si="0">D4+C4</f>
        <v>3.8</v>
      </c>
      <c r="F4" s="1">
        <f t="shared" ref="F4:F7" si="1">MAX(E3-B4,0)</f>
        <v>0</v>
      </c>
      <c r="G4" s="1">
        <f t="shared" ref="G4:G7" si="2">MAX(B4-E3,0)</f>
        <v>9.9999999999999645E-2</v>
      </c>
    </row>
    <row r="5" spans="1:7" x14ac:dyDescent="0.25">
      <c r="A5" s="1">
        <v>4</v>
      </c>
      <c r="B5" s="1">
        <f>1.9+B4</f>
        <v>5.4</v>
      </c>
      <c r="C5" s="1">
        <v>2.8</v>
      </c>
      <c r="D5" s="1">
        <f t="shared" ref="D5:D7" si="3">MAX(E4,B5)</f>
        <v>5.4</v>
      </c>
      <c r="E5" s="1">
        <f t="shared" si="0"/>
        <v>8.1999999999999993</v>
      </c>
      <c r="F5" s="1">
        <f t="shared" si="1"/>
        <v>0</v>
      </c>
      <c r="G5" s="1">
        <f t="shared" si="2"/>
        <v>1.6000000000000005</v>
      </c>
    </row>
    <row r="6" spans="1:7" x14ac:dyDescent="0.25">
      <c r="A6" s="1">
        <v>5</v>
      </c>
      <c r="B6" s="1">
        <f>0.2+B5</f>
        <v>5.6000000000000005</v>
      </c>
      <c r="C6" s="1">
        <v>0.2</v>
      </c>
      <c r="D6" s="1">
        <f t="shared" si="3"/>
        <v>8.1999999999999993</v>
      </c>
      <c r="E6" s="1">
        <f t="shared" si="0"/>
        <v>8.3999999999999986</v>
      </c>
      <c r="F6" s="1">
        <f t="shared" si="1"/>
        <v>2.5999999999999988</v>
      </c>
      <c r="G6" s="1">
        <f t="shared" si="2"/>
        <v>0</v>
      </c>
    </row>
    <row r="7" spans="1:7" x14ac:dyDescent="0.25">
      <c r="A7" s="1">
        <v>6</v>
      </c>
      <c r="B7" s="1">
        <f>1.5+B6</f>
        <v>7.1000000000000005</v>
      </c>
      <c r="C7" s="1">
        <v>1.8</v>
      </c>
      <c r="D7" s="1">
        <f t="shared" si="3"/>
        <v>8.3999999999999986</v>
      </c>
      <c r="E7" s="1">
        <f t="shared" si="0"/>
        <v>10.199999999999999</v>
      </c>
      <c r="F7" s="1">
        <f t="shared" si="1"/>
        <v>1.299999999999998</v>
      </c>
      <c r="G7" s="1">
        <f t="shared" si="2"/>
        <v>0</v>
      </c>
    </row>
    <row r="9" spans="1:7" x14ac:dyDescent="0.25">
      <c r="F9" t="s">
        <v>7</v>
      </c>
      <c r="G9" t="s">
        <v>7</v>
      </c>
    </row>
    <row r="10" spans="1:7" x14ac:dyDescent="0.25">
      <c r="F10">
        <f>SUM(F2:F7)</f>
        <v>4.6999999999999975</v>
      </c>
      <c r="G10">
        <f>SUM(G2:G7)</f>
        <v>1.7000000000000002</v>
      </c>
    </row>
    <row r="12" spans="1:7" x14ac:dyDescent="0.25">
      <c r="F12" t="s">
        <v>6</v>
      </c>
      <c r="G12" t="s">
        <v>9</v>
      </c>
    </row>
    <row r="13" spans="1:7" x14ac:dyDescent="0.25">
      <c r="F13">
        <f>AVERAGE(F2:F7)</f>
        <v>0.78333333333333288</v>
      </c>
      <c r="G13">
        <f>(E7-G10)/E7</f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Norman (CIV)</dc:creator>
  <cp:lastModifiedBy>Chan, Norman (CIV)</cp:lastModifiedBy>
  <dcterms:created xsi:type="dcterms:W3CDTF">2026-01-10T01:44:31Z</dcterms:created>
  <dcterms:modified xsi:type="dcterms:W3CDTF">2026-01-10T01:59:49Z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2026-01-10T01:53:05Z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d7ae5d7f-33e6-4be7-a698-76877a84b5c8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</Properties>
</file>