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flankspeed-my.sharepoint-mil.us/personal/dean_a_bussick_civ_us_navy_mil/Documents/NPS/SE4420/"/>
    </mc:Choice>
  </mc:AlternateContent>
  <xr:revisionPtr revIDLastSave="166" documentId="8_{6AB568CC-DA08-44EF-A157-FB0E3CE1E2EC}" xr6:coauthVersionLast="47" xr6:coauthVersionMax="47" xr10:uidLastSave="{6E69BF13-68ED-4FA8-A9F3-BC40AECF326B}"/>
  <bookViews>
    <workbookView xWindow="38280" yWindow="-120" windowWidth="38640" windowHeight="21120" xr2:uid="{2E0ADB21-02CC-419C-98CF-81AAB61DF0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 r="C53" i="1"/>
  <c r="C52" i="1"/>
  <c r="C51" i="1"/>
  <c r="H35" i="1"/>
  <c r="H37" i="1"/>
  <c r="H38" i="1"/>
  <c r="H42" i="1"/>
  <c r="H45" i="1"/>
  <c r="H47" i="1"/>
  <c r="H48" i="1"/>
  <c r="H34" i="1"/>
  <c r="H32" i="1"/>
  <c r="E32" i="1"/>
  <c r="E33" i="1"/>
  <c r="E34" i="1" s="1"/>
  <c r="E35" i="1" s="1"/>
  <c r="E36" i="1" s="1"/>
  <c r="E37" i="1" s="1"/>
  <c r="E38" i="1" s="1"/>
  <c r="E39" i="1" s="1"/>
  <c r="E40" i="1" s="1"/>
  <c r="E41" i="1" s="1"/>
  <c r="E42" i="1" s="1"/>
  <c r="E43" i="1" s="1"/>
  <c r="E44" i="1" s="1"/>
  <c r="E45" i="1" s="1"/>
  <c r="E46" i="1" s="1"/>
  <c r="E47" i="1" s="1"/>
  <c r="E48" i="1" s="1"/>
  <c r="E49" i="1" s="1"/>
  <c r="E31" i="1"/>
  <c r="C27" i="1"/>
  <c r="C26" i="1"/>
  <c r="C25" i="1"/>
  <c r="C24" i="1"/>
  <c r="C23" i="1"/>
  <c r="C22" i="1"/>
  <c r="C21" i="1"/>
  <c r="H19" i="1"/>
  <c r="I17" i="1"/>
  <c r="I16" i="1"/>
  <c r="H15" i="1"/>
  <c r="G16" i="1"/>
  <c r="F15" i="1"/>
  <c r="G15" i="1"/>
  <c r="E17" i="1"/>
  <c r="E18" i="1"/>
  <c r="E19" i="1" s="1"/>
  <c r="E16" i="1"/>
  <c r="E15" i="1"/>
  <c r="C11" i="1"/>
  <c r="B9" i="1"/>
  <c r="C9" i="1"/>
  <c r="G17" i="1" l="1"/>
  <c r="F18" i="1" l="1"/>
  <c r="G18" i="1" s="1"/>
  <c r="H18" i="1"/>
  <c r="F19" i="1" l="1"/>
  <c r="G19" i="1" s="1"/>
</calcChain>
</file>

<file path=xl/sharedStrings.xml><?xml version="1.0" encoding="utf-8"?>
<sst xmlns="http://schemas.openxmlformats.org/spreadsheetml/2006/main" count="50" uniqueCount="43">
  <si>
    <t>Dean Bussick</t>
  </si>
  <si>
    <t>SE4420 Homework 1</t>
  </si>
  <si>
    <t>1.</t>
  </si>
  <si>
    <t>no. in queue</t>
  </si>
  <si>
    <t>length (min)</t>
  </si>
  <si>
    <t>totals</t>
  </si>
  <si>
    <t>average queue lengths</t>
  </si>
  <si>
    <t>2.</t>
  </si>
  <si>
    <t>helicopter no.</t>
  </si>
  <si>
    <t>interval arrival time (hr)</t>
  </si>
  <si>
    <t>service time</t>
  </si>
  <si>
    <t>service time (hr)</t>
  </si>
  <si>
    <t>clock time</t>
  </si>
  <si>
    <t>repair start</t>
  </si>
  <si>
    <t>repair end</t>
  </si>
  <si>
    <t>wait time</t>
  </si>
  <si>
    <t>repair idle time</t>
  </si>
  <si>
    <t>queue start</t>
  </si>
  <si>
    <t>length end</t>
  </si>
  <si>
    <t>Maximum queue length</t>
  </si>
  <si>
    <t>Minimum queue length</t>
  </si>
  <si>
    <t>total queue time</t>
  </si>
  <si>
    <t>hours</t>
  </si>
  <si>
    <t>average queue time</t>
  </si>
  <si>
    <t>total service time</t>
  </si>
  <si>
    <t>total time observed</t>
  </si>
  <si>
    <t>utilization</t>
  </si>
  <si>
    <t>3.</t>
  </si>
  <si>
    <t>Ship</t>
  </si>
  <si>
    <t>Interarrival time</t>
  </si>
  <si>
    <t>arrival time</t>
  </si>
  <si>
    <t>service start</t>
  </si>
  <si>
    <t>service end</t>
  </si>
  <si>
    <t>total wait time</t>
  </si>
  <si>
    <t>days</t>
  </si>
  <si>
    <t>average wait time</t>
  </si>
  <si>
    <t>no of ships serviced</t>
  </si>
  <si>
    <t>3.a.</t>
  </si>
  <si>
    <t>3.b.</t>
  </si>
  <si>
    <t>total service time used</t>
  </si>
  <si>
    <t>available facility time</t>
  </si>
  <si>
    <t>days (given)</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</si>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</sst>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49" fontId="0" fillId="0" borderId="0" xfId="0" applyNumberFormat="1"/>
    <xf numFmtId="0" fontId="0" fillId="0" borderId="1" xfId="0" applyBorder="1"/>
    <xf numFmtId="0" fontId="0" fillId="0" borderId="1" xfId="0" applyFill="1" applyBorder="1"/>
    <xf numFmtId="0" fontId="0" fillId="2" borderId="1" xfId="0" applyFill="1" applyBorder="1"/>
    <xf numFmtId="10"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19050</xdr:colOff>
      <xdr:row>55</xdr:row>
      <xdr:rowOff>161925</xdr:rowOff>
    </xdr:from>
    <xdr:to>
      <xdr:col>5</xdr:col>
      <xdr:colOff>314325</xdr:colOff>
      <xdr:row>62</xdr:row>
      <xdr:rowOff>38100</xdr:rowOff>
    </xdr:to>
    <xdr:sp macro="" textlink="">
      <xdr:nvSpPr>
        <xdr:cNvPr id="2" name="TextBox 1">
          <a:extLst>
            <a:ext uri="{FF2B5EF4-FFF2-40B4-BE49-F238E27FC236}">
              <a16:creationId xmlns:a16="http://schemas.microsoft.com/office/drawing/2014/main" id="{E8CD0971-B067-BC07-411B-55046793AB2D}"/>
            </a:ext>
          </a:extLst>
        </xdr:cNvPr>
        <xdr:cNvSpPr txBox="1"/>
      </xdr:nvSpPr>
      <xdr:spPr>
        <a:xfrm>
          <a:off x="1257300" y="10639425"/>
          <a:ext cx="498157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resource</a:t>
          </a:r>
          <a:r>
            <a:rPr lang="en-US" sz="1100" baseline="0"/>
            <a:t> utilization for the first facility will change from 95% to 47.5% utilization. This utilization decrease occurs because the ships that were originally waiting in the first facility will be immdediately serviced by the new second facility. The total service demand hasn't changed, but by adding the second facility, the total capacity is doubled. Therfore the answer is C. it will decrease.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D2D8-2EB8-4AE3-9FF2-FDAD79CCE458}">
  <dimension ref="A1:K57"/>
  <sheetViews>
    <sheetView tabSelected="1" workbookViewId="0">
      <selection activeCell="M58" sqref="M58"/>
    </sheetView>
  </sheetViews>
  <sheetFormatPr defaultRowHeight="15" x14ac:dyDescent="0.25"/>
  <cols>
    <col min="1" max="1" width="18.5703125" style="1" bestFit="1" customWidth="1"/>
    <col min="2" max="2" width="21.85546875" bestFit="1" customWidth="1"/>
    <col min="3" max="3" width="22.140625" bestFit="1" customWidth="1"/>
    <col min="4" max="4" width="15.28515625" bestFit="1" customWidth="1"/>
    <col min="5" max="5" width="11" bestFit="1" customWidth="1"/>
    <col min="6" max="6" width="11.5703125" bestFit="1" customWidth="1"/>
    <col min="7" max="7" width="10.85546875" bestFit="1" customWidth="1"/>
    <col min="8" max="8" width="9" bestFit="1" customWidth="1"/>
    <col min="9" max="9" width="14.42578125" bestFit="1" customWidth="1"/>
    <col min="10" max="10" width="10.85546875" bestFit="1" customWidth="1"/>
    <col min="11" max="11" width="10.140625" bestFit="1" customWidth="1"/>
  </cols>
  <sheetData>
    <row r="1" spans="1:11" x14ac:dyDescent="0.25">
      <c r="A1" s="1" t="s">
        <v>0</v>
      </c>
    </row>
    <row r="2" spans="1:11" x14ac:dyDescent="0.25">
      <c r="A2" s="1" t="s">
        <v>1</v>
      </c>
    </row>
    <row r="4" spans="1:11" x14ac:dyDescent="0.25">
      <c r="A4" s="1" t="s">
        <v>2</v>
      </c>
      <c r="B4" s="2" t="s">
        <v>3</v>
      </c>
      <c r="C4" s="2" t="s">
        <v>4</v>
      </c>
    </row>
    <row r="5" spans="1:11" x14ac:dyDescent="0.25">
      <c r="B5" s="2">
        <v>3</v>
      </c>
      <c r="C5" s="2">
        <v>5</v>
      </c>
    </row>
    <row r="6" spans="1:11" x14ac:dyDescent="0.25">
      <c r="B6" s="2">
        <v>4</v>
      </c>
      <c r="C6" s="2">
        <v>10</v>
      </c>
    </row>
    <row r="7" spans="1:11" x14ac:dyDescent="0.25">
      <c r="B7" s="2">
        <v>2</v>
      </c>
      <c r="C7" s="2">
        <v>6</v>
      </c>
    </row>
    <row r="8" spans="1:11" x14ac:dyDescent="0.25">
      <c r="B8" s="2">
        <v>3</v>
      </c>
      <c r="C8" s="2">
        <v>9</v>
      </c>
    </row>
    <row r="9" spans="1:11" x14ac:dyDescent="0.25">
      <c r="A9" s="1" t="s">
        <v>5</v>
      </c>
      <c r="B9" s="2">
        <f>SUM(B5:B8)</f>
        <v>12</v>
      </c>
      <c r="C9" s="2">
        <f>SUM(C5:C8)</f>
        <v>30</v>
      </c>
    </row>
    <row r="11" spans="1:11" x14ac:dyDescent="0.25">
      <c r="B11" s="3" t="s">
        <v>6</v>
      </c>
      <c r="C11" s="4">
        <f>((B5*C5)+(B6*C6)+(B7*C7)+(B8*C8))/C9</f>
        <v>3.1333333333333333</v>
      </c>
    </row>
    <row r="13" spans="1:11" x14ac:dyDescent="0.25">
      <c r="A13" s="1" t="s">
        <v>7</v>
      </c>
      <c r="B13" s="2" t="s">
        <v>8</v>
      </c>
      <c r="C13" s="2" t="s">
        <v>9</v>
      </c>
      <c r="D13" s="2" t="s">
        <v>11</v>
      </c>
      <c r="E13" s="2" t="s">
        <v>12</v>
      </c>
      <c r="F13" s="2" t="s">
        <v>13</v>
      </c>
      <c r="G13" s="2" t="s">
        <v>14</v>
      </c>
      <c r="H13" s="2" t="s">
        <v>15</v>
      </c>
      <c r="I13" s="2" t="s">
        <v>16</v>
      </c>
      <c r="J13" s="2" t="s">
        <v>17</v>
      </c>
      <c r="K13" s="2" t="s">
        <v>18</v>
      </c>
    </row>
    <row r="14" spans="1:11" x14ac:dyDescent="0.25">
      <c r="B14" s="2">
        <v>1</v>
      </c>
      <c r="C14" s="2">
        <v>0</v>
      </c>
      <c r="D14" s="2">
        <v>2.2000000000000002</v>
      </c>
      <c r="E14" s="2">
        <v>0</v>
      </c>
      <c r="F14" s="2">
        <v>0</v>
      </c>
      <c r="G14" s="2">
        <v>2.2000000000000002</v>
      </c>
      <c r="H14" s="2">
        <v>0</v>
      </c>
      <c r="I14" s="2">
        <v>0</v>
      </c>
      <c r="J14" s="2">
        <v>0</v>
      </c>
      <c r="K14" s="2">
        <v>1</v>
      </c>
    </row>
    <row r="15" spans="1:11" x14ac:dyDescent="0.25">
      <c r="B15" s="2">
        <v>2</v>
      </c>
      <c r="C15" s="2">
        <v>1.4</v>
      </c>
      <c r="D15" s="2">
        <v>1.2</v>
      </c>
      <c r="E15" s="2">
        <f>C14+C15</f>
        <v>1.4</v>
      </c>
      <c r="F15" s="2">
        <f>G14</f>
        <v>2.2000000000000002</v>
      </c>
      <c r="G15" s="2">
        <f>$F15+$D15</f>
        <v>3.4000000000000004</v>
      </c>
      <c r="H15" s="2">
        <f>$G14-$E15</f>
        <v>0.80000000000000027</v>
      </c>
      <c r="I15" s="2">
        <v>0</v>
      </c>
      <c r="J15" s="2">
        <v>1</v>
      </c>
      <c r="K15" s="2">
        <v>0</v>
      </c>
    </row>
    <row r="16" spans="1:11" x14ac:dyDescent="0.25">
      <c r="B16" s="2">
        <v>3</v>
      </c>
      <c r="C16" s="2">
        <v>2.1</v>
      </c>
      <c r="D16" s="2">
        <v>0.3</v>
      </c>
      <c r="E16" s="2">
        <f>E15+C16</f>
        <v>3.5</v>
      </c>
      <c r="F16" s="2">
        <v>3.5</v>
      </c>
      <c r="G16" s="2">
        <f t="shared" ref="G16:G19" si="0">$F16+$D16</f>
        <v>3.8</v>
      </c>
      <c r="H16" s="2">
        <v>0</v>
      </c>
      <c r="I16" s="2">
        <f>F16-G15</f>
        <v>9.9999999999999645E-2</v>
      </c>
      <c r="J16" s="2">
        <v>1</v>
      </c>
      <c r="K16" s="2">
        <v>0</v>
      </c>
    </row>
    <row r="17" spans="1:11" x14ac:dyDescent="0.25">
      <c r="B17" s="2">
        <v>4</v>
      </c>
      <c r="C17" s="2">
        <v>1.9</v>
      </c>
      <c r="D17" s="2">
        <v>2.8</v>
      </c>
      <c r="E17" s="2">
        <f t="shared" ref="E17:E19" si="1">E16+C17</f>
        <v>5.4</v>
      </c>
      <c r="F17" s="2">
        <v>5.4</v>
      </c>
      <c r="G17" s="2">
        <f t="shared" si="0"/>
        <v>8.1999999999999993</v>
      </c>
      <c r="H17" s="2">
        <v>0</v>
      </c>
      <c r="I17" s="2">
        <f>F17-G16</f>
        <v>1.6000000000000005</v>
      </c>
      <c r="J17" s="2">
        <v>0</v>
      </c>
      <c r="K17" s="2">
        <v>2</v>
      </c>
    </row>
    <row r="18" spans="1:11" x14ac:dyDescent="0.25">
      <c r="B18" s="2">
        <v>5</v>
      </c>
      <c r="C18" s="2">
        <v>0.2</v>
      </c>
      <c r="D18" s="2">
        <v>0.2</v>
      </c>
      <c r="E18" s="2">
        <f t="shared" si="1"/>
        <v>5.6000000000000005</v>
      </c>
      <c r="F18" s="2">
        <f t="shared" ref="F17:F19" si="2">G17</f>
        <v>8.1999999999999993</v>
      </c>
      <c r="G18" s="2">
        <f t="shared" si="0"/>
        <v>8.3999999999999986</v>
      </c>
      <c r="H18" s="2">
        <f t="shared" ref="H16:H19" si="3">$G17-$E18</f>
        <v>2.5999999999999988</v>
      </c>
      <c r="I18" s="2">
        <v>0</v>
      </c>
      <c r="J18" s="2">
        <v>2</v>
      </c>
      <c r="K18" s="2">
        <v>1</v>
      </c>
    </row>
    <row r="19" spans="1:11" x14ac:dyDescent="0.25">
      <c r="B19" s="2">
        <v>6</v>
      </c>
      <c r="C19" s="2">
        <v>1.5</v>
      </c>
      <c r="D19" s="2">
        <v>1.8</v>
      </c>
      <c r="E19" s="2">
        <f t="shared" si="1"/>
        <v>7.1000000000000005</v>
      </c>
      <c r="F19" s="2">
        <f t="shared" si="2"/>
        <v>8.3999999999999986</v>
      </c>
      <c r="G19" s="2">
        <f t="shared" si="0"/>
        <v>10.199999999999999</v>
      </c>
      <c r="H19" s="2">
        <f t="shared" si="3"/>
        <v>1.299999999999998</v>
      </c>
      <c r="I19" s="2">
        <v>0</v>
      </c>
      <c r="J19" s="2">
        <v>1</v>
      </c>
      <c r="K19" s="2">
        <v>0</v>
      </c>
    </row>
    <row r="21" spans="1:11" x14ac:dyDescent="0.25">
      <c r="B21" s="2" t="s">
        <v>19</v>
      </c>
      <c r="C21" s="4">
        <f>J18</f>
        <v>2</v>
      </c>
    </row>
    <row r="22" spans="1:11" x14ac:dyDescent="0.25">
      <c r="B22" s="2" t="s">
        <v>20</v>
      </c>
      <c r="C22" s="4">
        <f>J17</f>
        <v>0</v>
      </c>
    </row>
    <row r="23" spans="1:11" x14ac:dyDescent="0.25">
      <c r="B23" s="2" t="s">
        <v>21</v>
      </c>
      <c r="C23" s="4">
        <f>SUM(H14:H19)</f>
        <v>4.6999999999999975</v>
      </c>
      <c r="D23" t="s">
        <v>22</v>
      </c>
    </row>
    <row r="24" spans="1:11" x14ac:dyDescent="0.25">
      <c r="B24" s="2" t="s">
        <v>23</v>
      </c>
      <c r="C24" s="4">
        <f>C23/B19</f>
        <v>0.78333333333333288</v>
      </c>
      <c r="D24" t="s">
        <v>22</v>
      </c>
    </row>
    <row r="25" spans="1:11" x14ac:dyDescent="0.25">
      <c r="B25" s="2" t="s">
        <v>24</v>
      </c>
      <c r="C25" s="4">
        <f>SUM(D14:D19)</f>
        <v>8.5</v>
      </c>
      <c r="D25" t="s">
        <v>22</v>
      </c>
    </row>
    <row r="26" spans="1:11" x14ac:dyDescent="0.25">
      <c r="B26" s="2" t="s">
        <v>25</v>
      </c>
      <c r="C26" s="4">
        <f>G19</f>
        <v>10.199999999999999</v>
      </c>
      <c r="D26" t="s">
        <v>22</v>
      </c>
    </row>
    <row r="27" spans="1:11" x14ac:dyDescent="0.25">
      <c r="B27" s="2" t="s">
        <v>26</v>
      </c>
      <c r="C27" s="5">
        <f>C25/C26</f>
        <v>0.83333333333333337</v>
      </c>
    </row>
    <row r="29" spans="1:11" x14ac:dyDescent="0.25">
      <c r="A29" s="1" t="s">
        <v>27</v>
      </c>
      <c r="B29" s="2" t="s">
        <v>28</v>
      </c>
      <c r="C29" s="2" t="s">
        <v>29</v>
      </c>
      <c r="D29" s="2" t="s">
        <v>10</v>
      </c>
      <c r="E29" s="2" t="s">
        <v>30</v>
      </c>
      <c r="F29" s="2" t="s">
        <v>31</v>
      </c>
      <c r="G29" s="2" t="s">
        <v>32</v>
      </c>
      <c r="H29" s="3" t="s">
        <v>15</v>
      </c>
    </row>
    <row r="30" spans="1:11" x14ac:dyDescent="0.25">
      <c r="B30" s="2">
        <v>1</v>
      </c>
      <c r="C30" s="2">
        <v>0</v>
      </c>
      <c r="D30" s="2">
        <v>2.5</v>
      </c>
      <c r="E30" s="2">
        <v>0</v>
      </c>
      <c r="F30" s="2">
        <v>0</v>
      </c>
      <c r="G30" s="2">
        <v>2.5</v>
      </c>
      <c r="H30" s="3">
        <v>0</v>
      </c>
    </row>
    <row r="31" spans="1:11" x14ac:dyDescent="0.25">
      <c r="B31" s="2">
        <v>2</v>
      </c>
      <c r="C31" s="2">
        <v>1</v>
      </c>
      <c r="D31" s="2"/>
      <c r="E31" s="2">
        <f>$E30+$C31</f>
        <v>1</v>
      </c>
      <c r="F31" s="2"/>
      <c r="G31" s="2"/>
      <c r="H31" s="2">
        <v>0</v>
      </c>
    </row>
    <row r="32" spans="1:11" x14ac:dyDescent="0.25">
      <c r="B32" s="2">
        <v>3</v>
      </c>
      <c r="C32" s="2">
        <v>1</v>
      </c>
      <c r="D32" s="2">
        <v>2</v>
      </c>
      <c r="E32" s="2">
        <f t="shared" ref="E32:E49" si="4">$E31+$C32</f>
        <v>2</v>
      </c>
      <c r="F32" s="2">
        <v>2.5</v>
      </c>
      <c r="G32" s="2">
        <v>4.5</v>
      </c>
      <c r="H32" s="2">
        <f>F32-E32</f>
        <v>0.5</v>
      </c>
    </row>
    <row r="33" spans="2:8" x14ac:dyDescent="0.25">
      <c r="B33" s="2">
        <v>4</v>
      </c>
      <c r="C33" s="2">
        <v>1</v>
      </c>
      <c r="D33" s="2"/>
      <c r="E33" s="2">
        <f t="shared" si="4"/>
        <v>3</v>
      </c>
      <c r="F33" s="2"/>
      <c r="G33" s="2"/>
      <c r="H33" s="2"/>
    </row>
    <row r="34" spans="2:8" x14ac:dyDescent="0.25">
      <c r="B34" s="2">
        <v>5</v>
      </c>
      <c r="C34" s="2">
        <v>1</v>
      </c>
      <c r="D34" s="2">
        <v>3</v>
      </c>
      <c r="E34" s="2">
        <f t="shared" si="4"/>
        <v>4</v>
      </c>
      <c r="F34" s="2">
        <v>4.5</v>
      </c>
      <c r="G34" s="2">
        <v>7.5</v>
      </c>
      <c r="H34" s="2">
        <f>F34-E34</f>
        <v>0.5</v>
      </c>
    </row>
    <row r="35" spans="2:8" x14ac:dyDescent="0.25">
      <c r="B35" s="2">
        <v>6</v>
      </c>
      <c r="C35" s="2">
        <v>1</v>
      </c>
      <c r="D35" s="2">
        <v>1.5</v>
      </c>
      <c r="E35" s="2">
        <f t="shared" si="4"/>
        <v>5</v>
      </c>
      <c r="F35" s="2">
        <v>7.5</v>
      </c>
      <c r="G35" s="2">
        <v>9</v>
      </c>
      <c r="H35" s="2">
        <f t="shared" ref="H35:H48" si="5">F35-E35</f>
        <v>2.5</v>
      </c>
    </row>
    <row r="36" spans="2:8" x14ac:dyDescent="0.25">
      <c r="B36" s="2">
        <v>7</v>
      </c>
      <c r="C36" s="2">
        <v>1</v>
      </c>
      <c r="D36" s="2"/>
      <c r="E36" s="2">
        <f t="shared" si="4"/>
        <v>6</v>
      </c>
      <c r="F36" s="2"/>
      <c r="G36" s="2"/>
      <c r="H36" s="2"/>
    </row>
    <row r="37" spans="2:8" x14ac:dyDescent="0.25">
      <c r="B37" s="2">
        <v>8</v>
      </c>
      <c r="C37" s="2">
        <v>1</v>
      </c>
      <c r="D37" s="2">
        <v>2</v>
      </c>
      <c r="E37" s="2">
        <f t="shared" si="4"/>
        <v>7</v>
      </c>
      <c r="F37" s="2">
        <v>9</v>
      </c>
      <c r="G37" s="2">
        <v>11</v>
      </c>
      <c r="H37" s="2">
        <f t="shared" si="5"/>
        <v>2</v>
      </c>
    </row>
    <row r="38" spans="2:8" x14ac:dyDescent="0.25">
      <c r="B38" s="2">
        <v>9</v>
      </c>
      <c r="C38" s="2">
        <v>1</v>
      </c>
      <c r="D38" s="2">
        <v>1</v>
      </c>
      <c r="E38" s="2">
        <f t="shared" si="4"/>
        <v>8</v>
      </c>
      <c r="F38" s="2">
        <v>11</v>
      </c>
      <c r="G38" s="2">
        <v>12</v>
      </c>
      <c r="H38" s="2">
        <f t="shared" si="5"/>
        <v>3</v>
      </c>
    </row>
    <row r="39" spans="2:8" x14ac:dyDescent="0.25">
      <c r="B39" s="2">
        <v>10</v>
      </c>
      <c r="C39" s="2">
        <v>1</v>
      </c>
      <c r="D39" s="2"/>
      <c r="E39" s="2">
        <f t="shared" si="4"/>
        <v>9</v>
      </c>
      <c r="F39" s="2"/>
      <c r="G39" s="2"/>
      <c r="H39" s="2"/>
    </row>
    <row r="40" spans="2:8" x14ac:dyDescent="0.25">
      <c r="B40" s="2">
        <v>11</v>
      </c>
      <c r="C40" s="2">
        <v>1</v>
      </c>
      <c r="D40" s="2"/>
      <c r="E40" s="2">
        <f t="shared" si="4"/>
        <v>10</v>
      </c>
      <c r="F40" s="2"/>
      <c r="G40" s="2"/>
      <c r="H40" s="2"/>
    </row>
    <row r="41" spans="2:8" x14ac:dyDescent="0.25">
      <c r="B41" s="2">
        <v>12</v>
      </c>
      <c r="C41" s="2">
        <v>1</v>
      </c>
      <c r="D41" s="2"/>
      <c r="E41" s="2">
        <f t="shared" si="4"/>
        <v>11</v>
      </c>
      <c r="F41" s="2"/>
      <c r="G41" s="2"/>
      <c r="H41" s="2"/>
    </row>
    <row r="42" spans="2:8" x14ac:dyDescent="0.25">
      <c r="B42" s="2">
        <v>13</v>
      </c>
      <c r="C42" s="2">
        <v>1</v>
      </c>
      <c r="D42" s="2">
        <v>2</v>
      </c>
      <c r="E42" s="2">
        <f t="shared" si="4"/>
        <v>12</v>
      </c>
      <c r="F42" s="2">
        <v>12</v>
      </c>
      <c r="G42" s="2">
        <v>14</v>
      </c>
      <c r="H42" s="2">
        <f t="shared" si="5"/>
        <v>0</v>
      </c>
    </row>
    <row r="43" spans="2:8" x14ac:dyDescent="0.25">
      <c r="B43" s="2">
        <v>14</v>
      </c>
      <c r="C43" s="2">
        <v>1</v>
      </c>
      <c r="D43" s="2"/>
      <c r="E43" s="2">
        <f t="shared" si="4"/>
        <v>13</v>
      </c>
      <c r="F43" s="2"/>
      <c r="G43" s="2"/>
      <c r="H43" s="2"/>
    </row>
    <row r="44" spans="2:8" x14ac:dyDescent="0.25">
      <c r="B44" s="2">
        <v>15</v>
      </c>
      <c r="C44" s="2">
        <v>1</v>
      </c>
      <c r="D44" s="2"/>
      <c r="E44" s="2">
        <f t="shared" si="4"/>
        <v>14</v>
      </c>
      <c r="F44" s="2"/>
      <c r="G44" s="2"/>
      <c r="H44" s="2"/>
    </row>
    <row r="45" spans="2:8" x14ac:dyDescent="0.25">
      <c r="B45" s="2">
        <v>16</v>
      </c>
      <c r="C45" s="2">
        <v>1</v>
      </c>
      <c r="D45" s="2">
        <v>0.5</v>
      </c>
      <c r="E45" s="2">
        <f t="shared" si="4"/>
        <v>15</v>
      </c>
      <c r="F45" s="2">
        <v>15</v>
      </c>
      <c r="G45" s="2">
        <v>15.5</v>
      </c>
      <c r="H45" s="2">
        <f t="shared" si="5"/>
        <v>0</v>
      </c>
    </row>
    <row r="46" spans="2:8" x14ac:dyDescent="0.25">
      <c r="B46" s="2">
        <v>17</v>
      </c>
      <c r="C46" s="2">
        <v>1</v>
      </c>
      <c r="D46" s="2"/>
      <c r="E46" s="2">
        <f t="shared" si="4"/>
        <v>16</v>
      </c>
      <c r="F46" s="2"/>
      <c r="G46" s="2"/>
      <c r="H46" s="2"/>
    </row>
    <row r="47" spans="2:8" x14ac:dyDescent="0.25">
      <c r="B47" s="2">
        <v>18</v>
      </c>
      <c r="C47" s="2">
        <v>1</v>
      </c>
      <c r="D47" s="2">
        <v>1.5</v>
      </c>
      <c r="E47" s="2">
        <f t="shared" si="4"/>
        <v>17</v>
      </c>
      <c r="F47" s="2">
        <v>17</v>
      </c>
      <c r="G47" s="2">
        <v>18.5</v>
      </c>
      <c r="H47" s="2">
        <f t="shared" si="5"/>
        <v>0</v>
      </c>
    </row>
    <row r="48" spans="2:8" x14ac:dyDescent="0.25">
      <c r="B48" s="2">
        <v>19</v>
      </c>
      <c r="C48" s="2">
        <v>1</v>
      </c>
      <c r="D48" s="2">
        <v>3</v>
      </c>
      <c r="E48" s="2">
        <f t="shared" si="4"/>
        <v>18</v>
      </c>
      <c r="F48" s="2">
        <v>18.5</v>
      </c>
      <c r="G48" s="2">
        <v>21.5</v>
      </c>
      <c r="H48" s="2">
        <f t="shared" si="5"/>
        <v>0.5</v>
      </c>
    </row>
    <row r="49" spans="1:8" x14ac:dyDescent="0.25">
      <c r="B49" s="2">
        <v>20</v>
      </c>
      <c r="C49" s="2">
        <v>1</v>
      </c>
      <c r="D49" s="2"/>
      <c r="E49" s="2">
        <f t="shared" si="4"/>
        <v>19</v>
      </c>
      <c r="F49" s="2"/>
      <c r="G49" s="2"/>
      <c r="H49" s="2"/>
    </row>
    <row r="50" spans="1:8" x14ac:dyDescent="0.25">
      <c r="B50" s="2" t="s">
        <v>36</v>
      </c>
      <c r="C50" s="3">
        <v>10</v>
      </c>
    </row>
    <row r="51" spans="1:8" x14ac:dyDescent="0.25">
      <c r="B51" s="2" t="s">
        <v>33</v>
      </c>
      <c r="C51" s="2">
        <f>SUM(H30:H49)</f>
        <v>9</v>
      </c>
      <c r="D51" t="s">
        <v>34</v>
      </c>
    </row>
    <row r="52" spans="1:8" x14ac:dyDescent="0.25">
      <c r="A52" s="1" t="s">
        <v>37</v>
      </c>
      <c r="B52" s="2" t="s">
        <v>35</v>
      </c>
      <c r="C52" s="4">
        <f>C51/C50</f>
        <v>0.9</v>
      </c>
      <c r="D52" t="s">
        <v>34</v>
      </c>
    </row>
    <row r="53" spans="1:8" x14ac:dyDescent="0.25">
      <c r="A53" s="1" t="s">
        <v>38</v>
      </c>
      <c r="B53" s="3" t="s">
        <v>39</v>
      </c>
      <c r="C53" s="2">
        <f>SUM(D30:D49)</f>
        <v>19</v>
      </c>
      <c r="D53" t="s">
        <v>34</v>
      </c>
    </row>
    <row r="54" spans="1:8" x14ac:dyDescent="0.25">
      <c r="B54" s="3" t="s">
        <v>40</v>
      </c>
      <c r="C54" s="2">
        <v>20</v>
      </c>
      <c r="D54" t="s">
        <v>41</v>
      </c>
    </row>
    <row r="55" spans="1:8" x14ac:dyDescent="0.25">
      <c r="B55" s="3" t="s">
        <v>26</v>
      </c>
      <c r="C55" s="5">
        <f>C53/C54</f>
        <v>0.95</v>
      </c>
    </row>
    <row r="57" spans="1:8" x14ac:dyDescent="0.25">
      <c r="A57" s="1" t="s">
        <v>42</v>
      </c>
    </row>
  </sheetData>
  <pageMargins left="0.7" right="0.7" top="0.75" bottom="0.75" header="0.3" footer="0.3"/>
  <drawing r:id="rId1"/>
</worksheet>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Bussick, Dean A CIV USN NUWC DIV NEWPORT RI (USA)</dc:creator>
  <cp:lastModifiedBy>Bussick, Dean A CIV USN NUWC DIV NEWPORT RI (USA)</cp:lastModifiedBy>
  <dcterms:created xsi:type="dcterms:W3CDTF">2026-01-09T12:15:32Z</dcterms:created>
  <dcterms:modified xsi:type="dcterms:W3CDTF">2026-01-09T13:55:04Z</dcterms:modified>
</cp:coreProperties>
</file>