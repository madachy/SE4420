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rmyeitaas-my.sharepoint-mil.us/personal/david_b_johnson95_civ_army_mil/Documents/Documents/Training/Masters/NPS/Classes/SE4420/Homework/"/>
    </mc:Choice>
  </mc:AlternateContent>
  <xr:revisionPtr revIDLastSave="143" documentId="13_ncr:1_{B69AEEC4-1C13-407F-B244-CBDF7AE3B4E8}" xr6:coauthVersionLast="47" xr6:coauthVersionMax="47" xr10:uidLastSave="{C4A8FD2F-7021-4741-AF9B-714BC9D1880A}"/>
  <bookViews>
    <workbookView xWindow="-120" yWindow="-120" windowWidth="29040" windowHeight="15720" xr2:uid="{FD157D28-6C81-4C42-926F-103BAA61669F}"/>
  </bookViews>
  <sheets>
    <sheet name="HW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1" i="1" l="1"/>
  <c r="C6" i="1"/>
  <c r="L87" i="1"/>
  <c r="L83" i="1"/>
  <c r="L81" i="1"/>
  <c r="L79" i="1"/>
  <c r="I84" i="1"/>
  <c r="I80" i="1"/>
  <c r="K87" i="1"/>
  <c r="J87" i="1"/>
  <c r="K83" i="1"/>
  <c r="J83" i="1"/>
  <c r="I82" i="1"/>
  <c r="K81" i="1"/>
  <c r="J81" i="1"/>
  <c r="K79" i="1"/>
  <c r="J79" i="1"/>
  <c r="F87" i="1"/>
  <c r="F86" i="1"/>
  <c r="F85" i="1"/>
  <c r="F84" i="1"/>
  <c r="F83" i="1"/>
  <c r="F82" i="1"/>
  <c r="F81" i="1"/>
  <c r="F80" i="1"/>
  <c r="F79" i="1"/>
  <c r="G78" i="1"/>
  <c r="I78" i="1" s="1"/>
  <c r="F78" i="1"/>
  <c r="F59" i="1"/>
  <c r="F60" i="1"/>
  <c r="F61" i="1"/>
  <c r="F62" i="1"/>
  <c r="F63" i="1"/>
  <c r="F64" i="1"/>
  <c r="F65" i="1"/>
  <c r="F66" i="1"/>
  <c r="F58" i="1"/>
  <c r="F57" i="1"/>
  <c r="G34" i="1"/>
  <c r="H34" i="1" s="1"/>
  <c r="G35" i="1" s="1"/>
  <c r="J35" i="1" s="1"/>
  <c r="G57" i="1"/>
  <c r="I57" i="1" s="1"/>
  <c r="F34" i="1"/>
  <c r="F35" i="1" s="1"/>
  <c r="G14" i="1"/>
  <c r="H14" i="1" s="1"/>
  <c r="F14" i="1"/>
  <c r="J57" i="1" l="1"/>
  <c r="H78" i="1"/>
  <c r="H57" i="1"/>
  <c r="G58" i="1" s="1"/>
  <c r="J58" i="1" s="1"/>
  <c r="K57" i="1"/>
  <c r="H35" i="1"/>
  <c r="J34" i="1"/>
  <c r="I34" i="1"/>
  <c r="I14" i="1"/>
  <c r="F36" i="1"/>
  <c r="J14" i="1"/>
  <c r="F15" i="1"/>
  <c r="K58" i="1" l="1"/>
  <c r="G80" i="1"/>
  <c r="G36" i="1"/>
  <c r="J36" i="1" s="1"/>
  <c r="I35" i="1"/>
  <c r="I36" i="1"/>
  <c r="H36" i="1"/>
  <c r="F37" i="1"/>
  <c r="F16" i="1"/>
  <c r="G15" i="1"/>
  <c r="H80" i="1" l="1"/>
  <c r="G82" i="1"/>
  <c r="G37" i="1"/>
  <c r="H37" i="1" s="1"/>
  <c r="I58" i="1"/>
  <c r="H58" i="1"/>
  <c r="G59" i="1" s="1"/>
  <c r="F38" i="1"/>
  <c r="J15" i="1"/>
  <c r="H15" i="1"/>
  <c r="G16" i="1" s="1"/>
  <c r="I15" i="1"/>
  <c r="F17" i="1"/>
  <c r="H82" i="1" l="1"/>
  <c r="J59" i="1"/>
  <c r="K59" i="1"/>
  <c r="J37" i="1"/>
  <c r="I37" i="1"/>
  <c r="G38" i="1"/>
  <c r="F39" i="1"/>
  <c r="F18" i="1"/>
  <c r="I16" i="1"/>
  <c r="J16" i="1"/>
  <c r="H16" i="1"/>
  <c r="G17" i="1" s="1"/>
  <c r="G84" i="1" l="1"/>
  <c r="H38" i="1"/>
  <c r="G39" i="1" s="1"/>
  <c r="I38" i="1"/>
  <c r="J38" i="1"/>
  <c r="F40" i="1"/>
  <c r="I59" i="1"/>
  <c r="H59" i="1"/>
  <c r="G60" i="1" s="1"/>
  <c r="H17" i="1"/>
  <c r="G18" i="1" s="1"/>
  <c r="I17" i="1"/>
  <c r="J17" i="1"/>
  <c r="F19" i="1"/>
  <c r="K18" i="1" l="1"/>
  <c r="H84" i="1"/>
  <c r="G85" i="1" s="1"/>
  <c r="J60" i="1"/>
  <c r="K60" i="1"/>
  <c r="H39" i="1"/>
  <c r="G40" i="1" s="1"/>
  <c r="I39" i="1"/>
  <c r="J39" i="1"/>
  <c r="F41" i="1"/>
  <c r="I60" i="1"/>
  <c r="H60" i="1"/>
  <c r="G61" i="1" s="1"/>
  <c r="J61" i="1" s="1"/>
  <c r="K14" i="1"/>
  <c r="K16" i="1"/>
  <c r="K15" i="1"/>
  <c r="K17" i="1"/>
  <c r="I18" i="1"/>
  <c r="H18" i="1"/>
  <c r="G19" i="1" s="1"/>
  <c r="J18" i="1"/>
  <c r="K61" i="1" l="1"/>
  <c r="I85" i="1"/>
  <c r="H85" i="1"/>
  <c r="G86" i="1" s="1"/>
  <c r="H40" i="1"/>
  <c r="G41" i="1" s="1"/>
  <c r="J40" i="1"/>
  <c r="I40" i="1"/>
  <c r="F42" i="1"/>
  <c r="J19" i="1"/>
  <c r="E25" i="1" s="1"/>
  <c r="H19" i="1"/>
  <c r="E26" i="1" s="1"/>
  <c r="I19" i="1"/>
  <c r="E23" i="1" s="1"/>
  <c r="E24" i="1" s="1"/>
  <c r="K19" i="1"/>
  <c r="I86" i="1" l="1"/>
  <c r="H86" i="1"/>
  <c r="I41" i="1"/>
  <c r="J41" i="1"/>
  <c r="H41" i="1"/>
  <c r="G42" i="1" s="1"/>
  <c r="F43" i="1"/>
  <c r="I61" i="1"/>
  <c r="H61" i="1"/>
  <c r="G62" i="1" s="1"/>
  <c r="E22" i="1"/>
  <c r="E21" i="1"/>
  <c r="J62" i="1" l="1"/>
  <c r="K62" i="1"/>
  <c r="H42" i="1"/>
  <c r="G43" i="1" s="1"/>
  <c r="I42" i="1"/>
  <c r="J42" i="1"/>
  <c r="F44" i="1"/>
  <c r="H62" i="1"/>
  <c r="G63" i="1" s="1"/>
  <c r="J63" i="1" s="1"/>
  <c r="I62" i="1"/>
  <c r="J43" i="1" l="1"/>
  <c r="H43" i="1"/>
  <c r="G44" i="1" s="1"/>
  <c r="I43" i="1"/>
  <c r="F45" i="1"/>
  <c r="H44" i="1" l="1"/>
  <c r="G45" i="1" s="1"/>
  <c r="I44" i="1"/>
  <c r="J44" i="1"/>
  <c r="F46" i="1"/>
  <c r="H45" i="1" l="1"/>
  <c r="G46" i="1" s="1"/>
  <c r="I45" i="1"/>
  <c r="J45" i="1"/>
  <c r="F47" i="1"/>
  <c r="F48" i="1" l="1"/>
  <c r="H46" i="1"/>
  <c r="G47" i="1" s="1"/>
  <c r="I46" i="1"/>
  <c r="J46" i="1"/>
  <c r="I63" i="1"/>
  <c r="H63" i="1"/>
  <c r="G64" i="1" s="1"/>
  <c r="J64" i="1" s="1"/>
  <c r="H47" i="1" l="1"/>
  <c r="G48" i="1" s="1"/>
  <c r="I47" i="1"/>
  <c r="J47" i="1"/>
  <c r="F49" i="1"/>
  <c r="F50" i="1" l="1"/>
  <c r="I48" i="1"/>
  <c r="J48" i="1"/>
  <c r="H48" i="1"/>
  <c r="G49" i="1" s="1"/>
  <c r="H49" i="1" l="1"/>
  <c r="G50" i="1" s="1"/>
  <c r="J49" i="1"/>
  <c r="I49" i="1"/>
  <c r="F51" i="1"/>
  <c r="I64" i="1"/>
  <c r="H64" i="1"/>
  <c r="G65" i="1" s="1"/>
  <c r="J65" i="1" s="1"/>
  <c r="E69" i="1" s="1"/>
  <c r="F52" i="1" l="1"/>
  <c r="H50" i="1"/>
  <c r="G51" i="1" s="1"/>
  <c r="I50" i="1"/>
  <c r="J50" i="1"/>
  <c r="H51" i="1" l="1"/>
  <c r="G52" i="1" s="1"/>
  <c r="I51" i="1"/>
  <c r="J51" i="1"/>
  <c r="F53" i="1"/>
  <c r="I65" i="1"/>
  <c r="H65" i="1"/>
  <c r="G66" i="1" s="1"/>
  <c r="I66" i="1" l="1"/>
  <c r="E68" i="1" s="1"/>
  <c r="J66" i="1"/>
  <c r="K63" i="1"/>
  <c r="K66" i="1"/>
  <c r="K64" i="1"/>
  <c r="K65" i="1"/>
  <c r="K34" i="1"/>
  <c r="K36" i="1"/>
  <c r="K35" i="1"/>
  <c r="K38" i="1"/>
  <c r="K37" i="1"/>
  <c r="K39" i="1"/>
  <c r="K40" i="1"/>
  <c r="K41" i="1"/>
  <c r="K42" i="1"/>
  <c r="K49" i="1"/>
  <c r="K47" i="1"/>
  <c r="K44" i="1"/>
  <c r="K50" i="1"/>
  <c r="K46" i="1"/>
  <c r="K43" i="1"/>
  <c r="K51" i="1"/>
  <c r="K48" i="1"/>
  <c r="K45" i="1"/>
  <c r="I52" i="1"/>
  <c r="J52" i="1"/>
  <c r="H52" i="1"/>
  <c r="G53" i="1" s="1"/>
  <c r="K52" i="1"/>
  <c r="H66" i="1"/>
  <c r="K53" i="1" l="1"/>
  <c r="J53" i="1"/>
  <c r="H53" i="1"/>
  <c r="I53" i="1"/>
</calcChain>
</file>

<file path=xl/sharedStrings.xml><?xml version="1.0" encoding="utf-8"?>
<sst xmlns="http://schemas.openxmlformats.org/spreadsheetml/2006/main" count="65" uniqueCount="39">
  <si>
    <t>The length of a queue during a 30 minute period is 3 for the first 5 minutes, 4 for the next 10 minutes, 2 for the next 6 minutes, and 3 for the last 9 minutes. What is the average queue length during this time?</t>
  </si>
  <si>
    <t>Answer</t>
  </si>
  <si>
    <t>people (assumption it's people)</t>
  </si>
  <si>
    <t>Compute this problem manually without the aid of a simulation tool. A Navy helicopter mechanic starts his shift and services incoming helicopters at the following inter-arrival times in hours: [0, 1.4, 2.1, 1.9, 0.2, 1.5]
Thus the first pilot arrives at the very beginning of his shift. The respective helicopter servicetimes in hours are: [2.2, 1.2, .3, 2.8, .2, 1.8]
Calculate the minimum and maximum queue length for this period, the total queue time (total time spent in queue for all pilots), the average waiting time in queue, the total idle time for the mechanic, and the resource utilization for the mechanic. Show all your work.</t>
  </si>
  <si>
    <t>Helicopter #</t>
  </si>
  <si>
    <t>Inter-arrival time</t>
  </si>
  <si>
    <t>Helicopter service times (hrs)</t>
  </si>
  <si>
    <t>Clock Time</t>
  </si>
  <si>
    <t>Service Start</t>
  </si>
  <si>
    <t>End</t>
  </si>
  <si>
    <t>Wait Time</t>
  </si>
  <si>
    <t>Mechanic idle time</t>
  </si>
  <si>
    <t>Queue Start</t>
  </si>
  <si>
    <t>Max queue length for period</t>
  </si>
  <si>
    <t>Min queue length for period</t>
  </si>
  <si>
    <t>Total queue time (in hours)</t>
  </si>
  <si>
    <t>Avg waiting time in queue (Hrs)</t>
  </si>
  <si>
    <t>Resource utilization for Mechanic</t>
  </si>
  <si>
    <t>Total mechanic idle time (Hrs)</t>
  </si>
  <si>
    <t>Table</t>
  </si>
  <si>
    <t>Below is another depiction of the class example for the Navy cargo ship maintenance facility scenario. This is for the single facility configuration and all time units are in days.
1) What is the average waiting time for the ships that need service?
2) Calculate the 20-day resource utilization of the single facility using fractional days. The facility is open and staffed 24 hours each day available for service.</t>
  </si>
  <si>
    <t>Ship #</t>
  </si>
  <si>
    <t>Ship service times (days)</t>
  </si>
  <si>
    <t>Mechanic idle time (days)</t>
  </si>
  <si>
    <t>Wait Time (days)</t>
  </si>
  <si>
    <t>Clock Time (Days)</t>
  </si>
  <si>
    <t>Service Start (Days)</t>
  </si>
  <si>
    <t>1) What is the average waiting time for the ships that need service?</t>
  </si>
  <si>
    <t>2) Calculate the 20-day resource utilization of the single facility using fractional days. The facility is open and staffed 24 hours each day available for service.</t>
  </si>
  <si>
    <t>Raw data Table</t>
  </si>
  <si>
    <t>Ships requiring service Table</t>
  </si>
  <si>
    <t>days</t>
  </si>
  <si>
    <t>In Problem 3, how might the resource utilization change for the first facility when a second facility is added? In this case ships will be serviced by the second facility when the first is busy. Assume the same inputs for ship arrivals and service durations.
A. it will be the same
B. it will increase
C. it will decrease
D. it cannot be determined</t>
  </si>
  <si>
    <t>Facility 1</t>
  </si>
  <si>
    <t>Facility 2</t>
  </si>
  <si>
    <t>Resource Utilization per Facility</t>
  </si>
  <si>
    <t>C: It will decrease</t>
  </si>
  <si>
    <r>
      <t xml:space="preserve">Student: </t>
    </r>
    <r>
      <rPr>
        <b/>
        <u/>
        <sz val="18"/>
        <color theme="1"/>
        <rFont val="Aptos Narrow"/>
        <family val="2"/>
        <scheme val="minor"/>
      </rPr>
      <t>David Johnson</t>
    </r>
  </si>
  <si>
    <t>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</si>
</sst>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 x14ac:knownFonts="1">
    <font>
      <sz val="11"/>
      <color theme="1"/>
      <name val="Aptos Narrow"/>
      <family val="2"/>
      <scheme val="minor"/>
    </font>
    <font>
      <sz val="11"/>
      <color theme="1"/>
      <name val="Aptos Narrow"/>
      <family val="2"/>
      <scheme val="minor"/>
    </font>
    <font>
      <b/>
      <sz val="16"/>
      <color theme="1"/>
      <name val="Aptos Narrow"/>
      <family val="2"/>
      <scheme val="minor"/>
    </font>
    <font>
      <b/>
      <sz val="18"/>
      <color theme="1"/>
      <name val="Aptos Narrow"/>
      <family val="2"/>
      <scheme val="minor"/>
    </font>
    <font>
      <b/>
      <u/>
      <sz val="18"/>
      <color theme="1"/>
      <name val="Aptos Narrow"/>
      <family val="2"/>
      <scheme val="minor"/>
    </font>
  </fonts>
  <fills count="3">
    <fill>
      <patternFill patternType="none"/>
    </fill>
    <fill>
      <patternFill patternType="gray125"/>
    </fill>
    <fill>
      <patternFill patternType="solid">
        <fgColor theme="9"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2" borderId="0" xfId="0" applyFill="1" applyBorder="1"/>
    <xf numFmtId="2" fontId="0" fillId="2" borderId="0" xfId="0" applyNumberFormat="1" applyFill="1" applyBorder="1"/>
    <xf numFmtId="0" fontId="0" fillId="0" borderId="6" xfId="0" applyBorder="1"/>
    <xf numFmtId="0" fontId="0" fillId="0" borderId="7" xfId="0" applyBorder="1"/>
    <xf numFmtId="0" fontId="0" fillId="0" borderId="8" xfId="0" applyBorder="1"/>
    <xf numFmtId="0" fontId="0" fillId="0" borderId="0" xfId="0" applyBorder="1" applyAlignment="1">
      <alignment vertical="top" wrapText="1"/>
    </xf>
    <xf numFmtId="164" fontId="0" fillId="2" borderId="0" xfId="0" applyNumberFormat="1" applyFill="1" applyBorder="1"/>
    <xf numFmtId="165" fontId="0" fillId="2" borderId="0" xfId="1" applyNumberFormat="1" applyFont="1" applyFill="1" applyBorder="1"/>
    <xf numFmtId="0" fontId="0" fillId="0" borderId="0" xfId="0" applyFill="1" applyBorder="1"/>
    <xf numFmtId="0" fontId="0" fillId="2" borderId="0" xfId="0" applyFill="1" applyBorder="1" applyAlignment="1">
      <alignment horizontal="right"/>
    </xf>
    <xf numFmtId="0" fontId="0" fillId="0" borderId="0" xfId="0" applyBorder="1" applyAlignment="1">
      <alignment horizontal="center" wrapText="1"/>
    </xf>
    <xf numFmtId="0" fontId="0" fillId="0" borderId="0" xfId="0" applyBorder="1" applyAlignment="1">
      <alignment horizontal="left" vertical="top" wrapText="1"/>
    </xf>
    <xf numFmtId="0" fontId="0" fillId="2" borderId="0" xfId="0" applyFill="1"/>
    <xf numFmtId="0" fontId="0" fillId="2" borderId="0" xfId="0" applyFill="1" applyBorder="1" applyAlignment="1">
      <alignment horizontal="left" vertical="top" wrapText="1"/>
    </xf>
    <xf numFmtId="0" fontId="0" fillId="2" borderId="0" xfId="0" applyFill="1" applyBorder="1" applyAlignment="1">
      <alignment horizontal="right" vertical="top" wrapText="1"/>
    </xf>
    <xf numFmtId="0" fontId="0" fillId="0" borderId="0" xfId="0" applyBorder="1" applyAlignment="1">
      <alignment horizontal="center"/>
    </xf>
    <xf numFmtId="0" fontId="0" fillId="0" borderId="0" xfId="0" applyAlignment="1"/>
    <xf numFmtId="0" fontId="0" fillId="0" borderId="0" xfId="0" applyBorder="1" applyAlignment="1">
      <alignment horizontal="right"/>
    </xf>
    <xf numFmtId="165" fontId="0" fillId="0" borderId="0" xfId="1" applyNumberFormat="1" applyFont="1" applyBorder="1"/>
    <xf numFmtId="0" fontId="2" fillId="0" borderId="0" xfId="0" applyFont="1" applyBorder="1" applyAlignment="1">
      <alignment vertical="top"/>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3"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658A2-682A-4311-9F8E-EB928F2AC493}">
  <dimension ref="A1:P94"/>
  <sheetViews>
    <sheetView tabSelected="1" topLeftCell="A77" workbookViewId="0">
      <selection activeCell="D98" sqref="D98"/>
    </sheetView>
  </sheetViews>
  <sheetFormatPr defaultRowHeight="15" x14ac:dyDescent="0.25"/>
  <cols>
    <col min="1" max="1" width="3.7109375" customWidth="1"/>
    <col min="3" max="19" width="12.7109375" customWidth="1"/>
  </cols>
  <sheetData>
    <row r="1" spans="1:13" ht="24" x14ac:dyDescent="0.4">
      <c r="B1" s="30" t="s">
        <v>37</v>
      </c>
    </row>
    <row r="2" spans="1:13" ht="15.75" thickBot="1" x14ac:dyDescent="0.3"/>
    <row r="3" spans="1:13" x14ac:dyDescent="0.25">
      <c r="A3" s="1"/>
      <c r="B3" s="2"/>
      <c r="C3" s="2"/>
      <c r="D3" s="2"/>
      <c r="E3" s="2"/>
      <c r="F3" s="2"/>
      <c r="G3" s="2"/>
      <c r="H3" s="2"/>
      <c r="I3" s="2"/>
      <c r="J3" s="2"/>
      <c r="K3" s="2"/>
      <c r="L3" s="2"/>
      <c r="M3" s="3"/>
    </row>
    <row r="4" spans="1:13" ht="21" x14ac:dyDescent="0.25">
      <c r="A4" s="4"/>
      <c r="B4" s="26">
        <v>1</v>
      </c>
      <c r="C4" s="17" t="s">
        <v>0</v>
      </c>
      <c r="D4" s="17"/>
      <c r="E4" s="17"/>
      <c r="F4" s="17"/>
      <c r="G4" s="17"/>
      <c r="H4" s="17"/>
      <c r="I4" s="17"/>
      <c r="J4" s="17"/>
      <c r="K4" s="17"/>
      <c r="L4" s="17"/>
      <c r="M4" s="6"/>
    </row>
    <row r="5" spans="1:13" x14ac:dyDescent="0.25">
      <c r="A5" s="4"/>
      <c r="B5" s="5"/>
      <c r="C5" s="17"/>
      <c r="D5" s="17"/>
      <c r="E5" s="17"/>
      <c r="F5" s="17"/>
      <c r="G5" s="17"/>
      <c r="H5" s="17"/>
      <c r="I5" s="17"/>
      <c r="J5" s="17"/>
      <c r="K5" s="17"/>
      <c r="L5" s="17"/>
      <c r="M5" s="6"/>
    </row>
    <row r="6" spans="1:13" x14ac:dyDescent="0.25">
      <c r="A6" s="4"/>
      <c r="B6" s="7" t="s">
        <v>1</v>
      </c>
      <c r="C6" s="8">
        <f>((3*5)+(4*10)+(2*6)+(3*9))/30</f>
        <v>3.1333333333333333</v>
      </c>
      <c r="D6" s="5" t="s">
        <v>2</v>
      </c>
      <c r="E6" s="5"/>
      <c r="F6" s="5"/>
      <c r="G6" s="5"/>
      <c r="H6" s="5"/>
      <c r="I6" s="5"/>
      <c r="J6" s="5"/>
      <c r="K6" s="5"/>
      <c r="L6" s="5"/>
      <c r="M6" s="6"/>
    </row>
    <row r="7" spans="1:13" ht="15.75" thickBot="1" x14ac:dyDescent="0.3">
      <c r="A7" s="9"/>
      <c r="B7" s="10"/>
      <c r="C7" s="10"/>
      <c r="D7" s="10"/>
      <c r="E7" s="10"/>
      <c r="F7" s="10"/>
      <c r="G7" s="10"/>
      <c r="H7" s="10"/>
      <c r="I7" s="10"/>
      <c r="J7" s="10"/>
      <c r="K7" s="10"/>
      <c r="L7" s="10"/>
      <c r="M7" s="11"/>
    </row>
    <row r="8" spans="1:13" ht="15.75" thickBot="1" x14ac:dyDescent="0.3"/>
    <row r="9" spans="1:13" x14ac:dyDescent="0.25">
      <c r="A9" s="1"/>
      <c r="B9" s="2"/>
      <c r="C9" s="2"/>
      <c r="D9" s="2"/>
      <c r="E9" s="2"/>
      <c r="F9" s="2"/>
      <c r="G9" s="2"/>
      <c r="H9" s="2"/>
      <c r="I9" s="2"/>
      <c r="J9" s="2"/>
      <c r="K9" s="2"/>
      <c r="L9" s="2"/>
      <c r="M9" s="3"/>
    </row>
    <row r="10" spans="1:13" ht="150.75" customHeight="1" x14ac:dyDescent="0.25">
      <c r="A10" s="4"/>
      <c r="B10" s="26">
        <v>2</v>
      </c>
      <c r="C10" s="18" t="s">
        <v>3</v>
      </c>
      <c r="D10" s="18"/>
      <c r="E10" s="18"/>
      <c r="F10" s="18"/>
      <c r="G10" s="18"/>
      <c r="H10" s="18"/>
      <c r="I10" s="18"/>
      <c r="J10" s="18"/>
      <c r="K10" s="18"/>
      <c r="L10" s="18"/>
      <c r="M10" s="6"/>
    </row>
    <row r="11" spans="1:13" x14ac:dyDescent="0.25">
      <c r="A11" s="4"/>
      <c r="B11" s="5"/>
      <c r="C11" s="12"/>
      <c r="D11" s="12"/>
      <c r="E11" s="12"/>
      <c r="F11" s="12"/>
      <c r="G11" s="12"/>
      <c r="H11" s="12"/>
      <c r="I11" s="12"/>
      <c r="J11" s="12"/>
      <c r="K11" s="12"/>
      <c r="L11" s="12"/>
      <c r="M11" s="6"/>
    </row>
    <row r="12" spans="1:13" x14ac:dyDescent="0.25">
      <c r="A12" s="4"/>
      <c r="B12" s="5"/>
      <c r="C12" s="12" t="s">
        <v>19</v>
      </c>
      <c r="D12" s="12"/>
      <c r="E12" s="12"/>
      <c r="F12" s="12"/>
      <c r="G12" s="12"/>
      <c r="H12" s="12"/>
      <c r="I12" s="12"/>
      <c r="J12" s="12"/>
      <c r="K12" s="12"/>
      <c r="L12" s="12"/>
      <c r="M12" s="6"/>
    </row>
    <row r="13" spans="1:13" ht="45" x14ac:dyDescent="0.25">
      <c r="A13" s="4"/>
      <c r="B13" s="5"/>
      <c r="C13" s="12" t="s">
        <v>4</v>
      </c>
      <c r="D13" s="12" t="s">
        <v>5</v>
      </c>
      <c r="E13" s="12" t="s">
        <v>6</v>
      </c>
      <c r="F13" s="12" t="s">
        <v>7</v>
      </c>
      <c r="G13" s="12" t="s">
        <v>8</v>
      </c>
      <c r="H13" s="12" t="s">
        <v>9</v>
      </c>
      <c r="I13" s="12" t="s">
        <v>10</v>
      </c>
      <c r="J13" s="12" t="s">
        <v>11</v>
      </c>
      <c r="K13" s="12" t="s">
        <v>12</v>
      </c>
      <c r="L13" s="12"/>
      <c r="M13" s="6"/>
    </row>
    <row r="14" spans="1:13" x14ac:dyDescent="0.25">
      <c r="A14" s="4"/>
      <c r="B14" s="5"/>
      <c r="C14" s="5">
        <v>1</v>
      </c>
      <c r="D14" s="5">
        <v>0</v>
      </c>
      <c r="E14" s="5">
        <v>2.2000000000000002</v>
      </c>
      <c r="F14" s="5">
        <f>D14</f>
        <v>0</v>
      </c>
      <c r="G14" s="5">
        <f>D14</f>
        <v>0</v>
      </c>
      <c r="H14" s="5">
        <f>G14+E14</f>
        <v>2.2000000000000002</v>
      </c>
      <c r="I14" s="5">
        <f>G14-F14</f>
        <v>0</v>
      </c>
      <c r="J14" s="5">
        <f>G14</f>
        <v>0</v>
      </c>
      <c r="K14" s="5">
        <f>COUNTIFS($F$14:$F$19,"&lt;="&amp;F14, $G$14:$G$19, "&gt;"&amp;F14)</f>
        <v>0</v>
      </c>
      <c r="L14" s="5"/>
      <c r="M14" s="6"/>
    </row>
    <row r="15" spans="1:13" x14ac:dyDescent="0.25">
      <c r="A15" s="4"/>
      <c r="B15" s="5"/>
      <c r="C15" s="5">
        <v>2</v>
      </c>
      <c r="D15" s="5">
        <v>1.4</v>
      </c>
      <c r="E15" s="5">
        <v>1.2</v>
      </c>
      <c r="F15" s="5">
        <f>F14+D15</f>
        <v>1.4</v>
      </c>
      <c r="G15" s="5">
        <f>IF(H14&gt;F15,H14,F15)</f>
        <v>2.2000000000000002</v>
      </c>
      <c r="H15" s="5">
        <f>G15+E15</f>
        <v>3.4000000000000004</v>
      </c>
      <c r="I15" s="5">
        <f t="shared" ref="I15:I19" si="0">G15-F15</f>
        <v>0.80000000000000027</v>
      </c>
      <c r="J15" s="5">
        <f>G15-H14</f>
        <v>0</v>
      </c>
      <c r="K15" s="5">
        <f t="shared" ref="K15:K19" si="1">COUNTIFS($F$14:$F$19,"&lt;="&amp;F15, $G$14:$G$19, "&gt;"&amp;F15)</f>
        <v>1</v>
      </c>
      <c r="L15" s="5"/>
      <c r="M15" s="6"/>
    </row>
    <row r="16" spans="1:13" x14ac:dyDescent="0.25">
      <c r="A16" s="4"/>
      <c r="B16" s="5"/>
      <c r="C16" s="5">
        <v>3</v>
      </c>
      <c r="D16" s="5">
        <v>2.1</v>
      </c>
      <c r="E16" s="5">
        <v>0.3</v>
      </c>
      <c r="F16" s="5">
        <f>F15+D16</f>
        <v>3.5</v>
      </c>
      <c r="G16" s="5">
        <f t="shared" ref="G16:G19" si="2">IF(H15&gt;F16,H15,F16)</f>
        <v>3.5</v>
      </c>
      <c r="H16" s="5">
        <f t="shared" ref="H16" si="3">G16+E16</f>
        <v>3.8</v>
      </c>
      <c r="I16" s="5">
        <f t="shared" si="0"/>
        <v>0</v>
      </c>
      <c r="J16" s="5">
        <f>G16-H15</f>
        <v>9.9999999999999645E-2</v>
      </c>
      <c r="K16" s="5">
        <f t="shared" si="1"/>
        <v>0</v>
      </c>
      <c r="L16" s="5"/>
      <c r="M16" s="6"/>
    </row>
    <row r="17" spans="1:13" x14ac:dyDescent="0.25">
      <c r="A17" s="4"/>
      <c r="B17" s="5"/>
      <c r="C17" s="5">
        <v>4</v>
      </c>
      <c r="D17" s="5">
        <v>1.9</v>
      </c>
      <c r="E17" s="5">
        <v>2.8</v>
      </c>
      <c r="F17" s="5">
        <f>F16+D17</f>
        <v>5.4</v>
      </c>
      <c r="G17" s="5">
        <f t="shared" si="2"/>
        <v>5.4</v>
      </c>
      <c r="H17" s="5">
        <f>G17+E17</f>
        <v>8.1999999999999993</v>
      </c>
      <c r="I17" s="5">
        <f t="shared" si="0"/>
        <v>0</v>
      </c>
      <c r="J17" s="5">
        <f t="shared" ref="J17:J19" si="4">G17-H16</f>
        <v>1.6000000000000005</v>
      </c>
      <c r="K17" s="5">
        <f t="shared" si="1"/>
        <v>0</v>
      </c>
      <c r="L17" s="5"/>
      <c r="M17" s="6"/>
    </row>
    <row r="18" spans="1:13" x14ac:dyDescent="0.25">
      <c r="A18" s="4"/>
      <c r="B18" s="5"/>
      <c r="C18" s="5">
        <v>5</v>
      </c>
      <c r="D18" s="5">
        <v>0.2</v>
      </c>
      <c r="E18" s="5">
        <v>0.2</v>
      </c>
      <c r="F18" s="5">
        <f>F17+D18</f>
        <v>5.6000000000000005</v>
      </c>
      <c r="G18" s="5">
        <f t="shared" si="2"/>
        <v>8.1999999999999993</v>
      </c>
      <c r="H18" s="5">
        <f>G18+E18</f>
        <v>8.3999999999999986</v>
      </c>
      <c r="I18" s="5">
        <f t="shared" si="0"/>
        <v>2.5999999999999988</v>
      </c>
      <c r="J18" s="5">
        <f t="shared" si="4"/>
        <v>0</v>
      </c>
      <c r="K18" s="5">
        <f t="shared" si="1"/>
        <v>1</v>
      </c>
      <c r="L18" s="5"/>
      <c r="M18" s="6"/>
    </row>
    <row r="19" spans="1:13" x14ac:dyDescent="0.25">
      <c r="A19" s="4"/>
      <c r="B19" s="5"/>
      <c r="C19" s="5">
        <v>6</v>
      </c>
      <c r="D19" s="5">
        <v>1.5</v>
      </c>
      <c r="E19" s="5">
        <v>1.8</v>
      </c>
      <c r="F19" s="5">
        <f>F18+D19</f>
        <v>7.1000000000000005</v>
      </c>
      <c r="G19" s="5">
        <f t="shared" si="2"/>
        <v>8.3999999999999986</v>
      </c>
      <c r="H19" s="5">
        <f>G19+E19</f>
        <v>10.199999999999999</v>
      </c>
      <c r="I19" s="5">
        <f t="shared" si="0"/>
        <v>1.299999999999998</v>
      </c>
      <c r="J19" s="5">
        <f t="shared" si="4"/>
        <v>0</v>
      </c>
      <c r="K19" s="5">
        <f t="shared" si="1"/>
        <v>2</v>
      </c>
      <c r="L19" s="5"/>
      <c r="M19" s="6"/>
    </row>
    <row r="20" spans="1:13" x14ac:dyDescent="0.25">
      <c r="A20" s="4"/>
      <c r="B20" s="5" t="s">
        <v>38</v>
      </c>
      <c r="C20" s="5"/>
      <c r="D20" s="5"/>
      <c r="E20" s="5"/>
      <c r="F20" s="5"/>
      <c r="G20" s="5"/>
      <c r="H20" s="5"/>
      <c r="I20" s="5"/>
      <c r="J20" s="5"/>
      <c r="K20" s="5"/>
      <c r="L20" s="5"/>
      <c r="M20" s="6"/>
    </row>
    <row r="21" spans="1:13" x14ac:dyDescent="0.25">
      <c r="A21" s="4"/>
      <c r="B21" s="16" t="s">
        <v>14</v>
      </c>
      <c r="C21" s="16"/>
      <c r="D21" s="16"/>
      <c r="E21" s="7">
        <f>MIN(K14:K19)</f>
        <v>0</v>
      </c>
      <c r="F21" s="5"/>
      <c r="G21" s="5"/>
      <c r="H21" s="5"/>
      <c r="I21" s="5"/>
      <c r="J21" s="5"/>
      <c r="K21" s="5"/>
      <c r="L21" s="5"/>
      <c r="M21" s="6"/>
    </row>
    <row r="22" spans="1:13" x14ac:dyDescent="0.25">
      <c r="A22" s="4"/>
      <c r="B22" s="16" t="s">
        <v>13</v>
      </c>
      <c r="C22" s="16"/>
      <c r="D22" s="16"/>
      <c r="E22" s="7">
        <f>MAX(K14:K19)</f>
        <v>2</v>
      </c>
      <c r="F22" s="5"/>
      <c r="G22" s="5"/>
      <c r="H22" s="5"/>
      <c r="I22" s="5"/>
      <c r="J22" s="5"/>
      <c r="K22" s="5"/>
      <c r="L22" s="5"/>
      <c r="M22" s="6"/>
    </row>
    <row r="23" spans="1:13" x14ac:dyDescent="0.25">
      <c r="A23" s="4"/>
      <c r="B23" s="16" t="s">
        <v>15</v>
      </c>
      <c r="C23" s="16"/>
      <c r="D23" s="16"/>
      <c r="E23" s="7">
        <f>SUM(I14:I19)</f>
        <v>4.6999999999999975</v>
      </c>
      <c r="F23" s="5"/>
      <c r="G23" s="5"/>
      <c r="H23" s="5"/>
      <c r="I23" s="5"/>
      <c r="J23" s="5"/>
      <c r="K23" s="5"/>
      <c r="L23" s="5"/>
      <c r="M23" s="6"/>
    </row>
    <row r="24" spans="1:13" x14ac:dyDescent="0.25">
      <c r="A24" s="4"/>
      <c r="B24" s="16" t="s">
        <v>16</v>
      </c>
      <c r="C24" s="16"/>
      <c r="D24" s="16"/>
      <c r="E24" s="13">
        <f>E23/C19</f>
        <v>0.78333333333333288</v>
      </c>
      <c r="F24" s="5"/>
      <c r="G24" s="5"/>
      <c r="H24" s="5"/>
      <c r="I24" s="5"/>
      <c r="J24" s="5"/>
      <c r="K24" s="5"/>
      <c r="L24" s="5"/>
      <c r="M24" s="6"/>
    </row>
    <row r="25" spans="1:13" x14ac:dyDescent="0.25">
      <c r="A25" s="4"/>
      <c r="B25" s="16" t="s">
        <v>18</v>
      </c>
      <c r="C25" s="16"/>
      <c r="D25" s="16"/>
      <c r="E25" s="7">
        <f>SUM(J14:J19)</f>
        <v>1.7000000000000002</v>
      </c>
      <c r="F25" s="5"/>
      <c r="G25" s="5"/>
      <c r="H25" s="5"/>
      <c r="I25" s="5"/>
      <c r="J25" s="5"/>
      <c r="K25" s="5"/>
      <c r="L25" s="5"/>
      <c r="M25" s="6"/>
    </row>
    <row r="26" spans="1:13" x14ac:dyDescent="0.25">
      <c r="A26" s="4"/>
      <c r="B26" s="16" t="s">
        <v>17</v>
      </c>
      <c r="C26" s="16"/>
      <c r="D26" s="16"/>
      <c r="E26" s="14">
        <f>SUM(E14:E19)/H19</f>
        <v>0.83333333333333337</v>
      </c>
      <c r="F26" s="5"/>
      <c r="G26" s="5"/>
      <c r="H26" s="5"/>
      <c r="I26" s="5"/>
      <c r="J26" s="5"/>
      <c r="K26" s="5"/>
      <c r="L26" s="5"/>
      <c r="M26" s="6"/>
    </row>
    <row r="27" spans="1:13" ht="15.75" thickBot="1" x14ac:dyDescent="0.3">
      <c r="A27" s="9"/>
      <c r="B27" s="10"/>
      <c r="C27" s="10"/>
      <c r="D27" s="10"/>
      <c r="E27" s="10"/>
      <c r="F27" s="10"/>
      <c r="G27" s="10"/>
      <c r="H27" s="10"/>
      <c r="I27" s="10"/>
      <c r="J27" s="10"/>
      <c r="K27" s="10"/>
      <c r="L27" s="10"/>
      <c r="M27" s="11"/>
    </row>
    <row r="28" spans="1:13" ht="15.75" thickBot="1" x14ac:dyDescent="0.3"/>
    <row r="29" spans="1:13" x14ac:dyDescent="0.25">
      <c r="A29" s="1"/>
      <c r="B29" s="2"/>
      <c r="C29" s="2"/>
      <c r="D29" s="2"/>
      <c r="E29" s="2"/>
      <c r="F29" s="2"/>
      <c r="G29" s="2"/>
      <c r="H29" s="2"/>
      <c r="I29" s="2"/>
      <c r="J29" s="2"/>
      <c r="K29" s="2"/>
      <c r="L29" s="2"/>
      <c r="M29" s="3"/>
    </row>
    <row r="30" spans="1:13" ht="78.75" customHeight="1" x14ac:dyDescent="0.25">
      <c r="A30" s="4"/>
      <c r="B30" s="26">
        <v>3</v>
      </c>
      <c r="C30" s="18" t="s">
        <v>20</v>
      </c>
      <c r="D30" s="18"/>
      <c r="E30" s="18"/>
      <c r="F30" s="18"/>
      <c r="G30" s="18"/>
      <c r="H30" s="18"/>
      <c r="I30" s="18"/>
      <c r="J30" s="18"/>
      <c r="K30" s="18"/>
      <c r="L30" s="18"/>
      <c r="M30" s="6"/>
    </row>
    <row r="31" spans="1:13" x14ac:dyDescent="0.25">
      <c r="A31" s="4"/>
      <c r="B31" s="5"/>
      <c r="C31" s="5"/>
      <c r="D31" s="5"/>
      <c r="E31" s="5"/>
      <c r="F31" s="5"/>
      <c r="G31" s="5"/>
      <c r="H31" s="5"/>
      <c r="I31" s="5"/>
      <c r="J31" s="5"/>
      <c r="K31" s="5"/>
      <c r="L31" s="5"/>
      <c r="M31" s="6"/>
    </row>
    <row r="32" spans="1:13" ht="30" x14ac:dyDescent="0.25">
      <c r="A32" s="4"/>
      <c r="B32" s="5"/>
      <c r="C32" s="12" t="s">
        <v>29</v>
      </c>
      <c r="D32" s="12"/>
      <c r="E32" s="12"/>
      <c r="F32" s="12"/>
      <c r="G32" s="12"/>
      <c r="H32" s="12"/>
      <c r="I32" s="12"/>
      <c r="J32" s="12"/>
      <c r="K32" s="12"/>
      <c r="L32" s="5"/>
      <c r="M32" s="6"/>
    </row>
    <row r="33" spans="1:13" ht="45" x14ac:dyDescent="0.25">
      <c r="A33" s="4"/>
      <c r="B33" s="5"/>
      <c r="C33" s="12" t="s">
        <v>21</v>
      </c>
      <c r="D33" s="12" t="s">
        <v>5</v>
      </c>
      <c r="E33" s="12" t="s">
        <v>22</v>
      </c>
      <c r="F33" s="12" t="s">
        <v>25</v>
      </c>
      <c r="G33" s="12" t="s">
        <v>26</v>
      </c>
      <c r="H33" s="12" t="s">
        <v>9</v>
      </c>
      <c r="I33" s="12" t="s">
        <v>24</v>
      </c>
      <c r="J33" s="12" t="s">
        <v>23</v>
      </c>
      <c r="K33" s="12" t="s">
        <v>12</v>
      </c>
      <c r="L33" s="5"/>
      <c r="M33" s="6"/>
    </row>
    <row r="34" spans="1:13" x14ac:dyDescent="0.25">
      <c r="A34" s="4"/>
      <c r="B34" s="5"/>
      <c r="C34" s="5">
        <v>1</v>
      </c>
      <c r="D34" s="5">
        <v>0</v>
      </c>
      <c r="E34" s="5">
        <v>2.5</v>
      </c>
      <c r="F34" s="5">
        <f>D34</f>
        <v>0</v>
      </c>
      <c r="G34" s="5">
        <f>D34</f>
        <v>0</v>
      </c>
      <c r="H34" s="5">
        <f t="shared" ref="H34:H39" si="5">G34+E34</f>
        <v>2.5</v>
      </c>
      <c r="I34" s="5">
        <f>G34-F34</f>
        <v>0</v>
      </c>
      <c r="J34" s="5">
        <f>G34</f>
        <v>0</v>
      </c>
      <c r="K34" s="5">
        <f>COUNTIFS($F$34:$F$53,"&lt;="&amp;F34, $G$34:$G$53, "&gt;"&amp;F34)</f>
        <v>0</v>
      </c>
      <c r="L34" s="5"/>
      <c r="M34" s="6"/>
    </row>
    <row r="35" spans="1:13" x14ac:dyDescent="0.25">
      <c r="A35" s="4"/>
      <c r="B35" s="5"/>
      <c r="C35" s="5">
        <v>2</v>
      </c>
      <c r="D35" s="5">
        <v>1</v>
      </c>
      <c r="E35" s="5">
        <v>0</v>
      </c>
      <c r="F35" s="5">
        <f>F34+D35</f>
        <v>1</v>
      </c>
      <c r="G35" s="5">
        <f>IF(H34&gt;F35,H34,F35)</f>
        <v>2.5</v>
      </c>
      <c r="H35" s="5">
        <f t="shared" si="5"/>
        <v>2.5</v>
      </c>
      <c r="I35" s="5">
        <f t="shared" ref="I35:I53" si="6">G35-F35</f>
        <v>1.5</v>
      </c>
      <c r="J35" s="5">
        <f>G35-H34</f>
        <v>0</v>
      </c>
      <c r="K35" s="5">
        <f t="shared" ref="K35:K53" si="7">COUNTIFS($F$34:$F$53,"&lt;="&amp;F35, $G$34:$G$53, "&gt;"&amp;F35)</f>
        <v>1</v>
      </c>
      <c r="L35" s="5"/>
      <c r="M35" s="6"/>
    </row>
    <row r="36" spans="1:13" x14ac:dyDescent="0.25">
      <c r="A36" s="4"/>
      <c r="B36" s="5"/>
      <c r="C36" s="5">
        <v>3</v>
      </c>
      <c r="D36" s="5">
        <v>1</v>
      </c>
      <c r="E36" s="5">
        <v>2</v>
      </c>
      <c r="F36" s="5">
        <f>F35+D36</f>
        <v>2</v>
      </c>
      <c r="G36" s="5">
        <f>IF(H35&gt;F36,H35,F36)</f>
        <v>2.5</v>
      </c>
      <c r="H36" s="5">
        <f t="shared" si="5"/>
        <v>4.5</v>
      </c>
      <c r="I36" s="5">
        <f t="shared" si="6"/>
        <v>0.5</v>
      </c>
      <c r="J36" s="5">
        <f>G36-H35</f>
        <v>0</v>
      </c>
      <c r="K36" s="5">
        <f t="shared" si="7"/>
        <v>2</v>
      </c>
      <c r="L36" s="5"/>
      <c r="M36" s="6"/>
    </row>
    <row r="37" spans="1:13" x14ac:dyDescent="0.25">
      <c r="A37" s="4"/>
      <c r="B37" s="5"/>
      <c r="C37" s="5">
        <v>4</v>
      </c>
      <c r="D37" s="5">
        <v>1</v>
      </c>
      <c r="E37" s="15">
        <v>0</v>
      </c>
      <c r="F37" s="5">
        <f>F36+D37</f>
        <v>3</v>
      </c>
      <c r="G37" s="5">
        <f t="shared" ref="G37:G53" si="8">IF(H36&gt;F37,H36,F37)</f>
        <v>4.5</v>
      </c>
      <c r="H37" s="5">
        <f t="shared" si="5"/>
        <v>4.5</v>
      </c>
      <c r="I37" s="5">
        <f t="shared" si="6"/>
        <v>1.5</v>
      </c>
      <c r="J37" s="5">
        <f t="shared" ref="J37:J52" si="9">G37-H36</f>
        <v>0</v>
      </c>
      <c r="K37" s="5">
        <f t="shared" si="7"/>
        <v>1</v>
      </c>
      <c r="L37" s="5"/>
      <c r="M37" s="6"/>
    </row>
    <row r="38" spans="1:13" x14ac:dyDescent="0.25">
      <c r="A38" s="4"/>
      <c r="B38" s="5"/>
      <c r="C38" s="5">
        <v>5</v>
      </c>
      <c r="D38" s="5">
        <v>1</v>
      </c>
      <c r="E38" s="5">
        <v>3</v>
      </c>
      <c r="F38" s="5">
        <f>F37+D38</f>
        <v>4</v>
      </c>
      <c r="G38" s="5">
        <f t="shared" si="8"/>
        <v>4.5</v>
      </c>
      <c r="H38" s="5">
        <f t="shared" si="5"/>
        <v>7.5</v>
      </c>
      <c r="I38" s="5">
        <f t="shared" si="6"/>
        <v>0.5</v>
      </c>
      <c r="J38" s="5">
        <f t="shared" si="9"/>
        <v>0</v>
      </c>
      <c r="K38" s="5">
        <f t="shared" si="7"/>
        <v>2</v>
      </c>
      <c r="L38" s="5"/>
      <c r="M38" s="6"/>
    </row>
    <row r="39" spans="1:13" x14ac:dyDescent="0.25">
      <c r="A39" s="4"/>
      <c r="B39" s="5"/>
      <c r="C39" s="5">
        <v>6</v>
      </c>
      <c r="D39" s="5">
        <v>1</v>
      </c>
      <c r="E39" s="5">
        <v>1.5</v>
      </c>
      <c r="F39" s="5">
        <f>F38+D39</f>
        <v>5</v>
      </c>
      <c r="G39" s="5">
        <f t="shared" si="8"/>
        <v>7.5</v>
      </c>
      <c r="H39" s="5">
        <f t="shared" si="5"/>
        <v>9</v>
      </c>
      <c r="I39" s="5">
        <f t="shared" si="6"/>
        <v>2.5</v>
      </c>
      <c r="J39" s="5">
        <f t="shared" si="9"/>
        <v>0</v>
      </c>
      <c r="K39" s="5">
        <f t="shared" si="7"/>
        <v>1</v>
      </c>
      <c r="L39" s="5"/>
      <c r="M39" s="6"/>
    </row>
    <row r="40" spans="1:13" x14ac:dyDescent="0.25">
      <c r="A40" s="4"/>
      <c r="B40" s="5"/>
      <c r="C40" s="5">
        <v>7</v>
      </c>
      <c r="D40" s="5">
        <v>1</v>
      </c>
      <c r="E40" s="15">
        <v>0</v>
      </c>
      <c r="F40" s="5">
        <f t="shared" ref="F40:F53" si="10">F39+D40</f>
        <v>6</v>
      </c>
      <c r="G40" s="5">
        <f t="shared" si="8"/>
        <v>9</v>
      </c>
      <c r="H40" s="5">
        <f t="shared" ref="H40:H53" si="11">G40+E40</f>
        <v>9</v>
      </c>
      <c r="I40" s="5">
        <f t="shared" si="6"/>
        <v>3</v>
      </c>
      <c r="J40" s="5">
        <f t="shared" si="9"/>
        <v>0</v>
      </c>
      <c r="K40" s="5">
        <f t="shared" si="7"/>
        <v>2</v>
      </c>
      <c r="L40" s="5"/>
      <c r="M40" s="6"/>
    </row>
    <row r="41" spans="1:13" x14ac:dyDescent="0.25">
      <c r="A41" s="4"/>
      <c r="B41" s="5"/>
      <c r="C41" s="5">
        <v>8</v>
      </c>
      <c r="D41" s="5">
        <v>1</v>
      </c>
      <c r="E41" s="15">
        <v>2</v>
      </c>
      <c r="F41" s="5">
        <f t="shared" si="10"/>
        <v>7</v>
      </c>
      <c r="G41" s="5">
        <f t="shared" si="8"/>
        <v>9</v>
      </c>
      <c r="H41" s="5">
        <f t="shared" si="11"/>
        <v>11</v>
      </c>
      <c r="I41" s="5">
        <f t="shared" si="6"/>
        <v>2</v>
      </c>
      <c r="J41" s="5">
        <f t="shared" si="9"/>
        <v>0</v>
      </c>
      <c r="K41" s="5">
        <f t="shared" si="7"/>
        <v>3</v>
      </c>
      <c r="L41" s="5"/>
      <c r="M41" s="6"/>
    </row>
    <row r="42" spans="1:13" x14ac:dyDescent="0.25">
      <c r="A42" s="4"/>
      <c r="B42" s="5"/>
      <c r="C42" s="5">
        <v>9</v>
      </c>
      <c r="D42" s="5">
        <v>1</v>
      </c>
      <c r="E42" s="15">
        <v>1</v>
      </c>
      <c r="F42" s="5">
        <f t="shared" si="10"/>
        <v>8</v>
      </c>
      <c r="G42" s="5">
        <f t="shared" si="8"/>
        <v>11</v>
      </c>
      <c r="H42" s="5">
        <f t="shared" si="11"/>
        <v>12</v>
      </c>
      <c r="I42" s="5">
        <f t="shared" si="6"/>
        <v>3</v>
      </c>
      <c r="J42" s="5">
        <f t="shared" si="9"/>
        <v>0</v>
      </c>
      <c r="K42" s="5">
        <f t="shared" si="7"/>
        <v>3</v>
      </c>
      <c r="L42" s="5"/>
      <c r="M42" s="6"/>
    </row>
    <row r="43" spans="1:13" x14ac:dyDescent="0.25">
      <c r="A43" s="4"/>
      <c r="B43" s="5"/>
      <c r="C43" s="5">
        <v>10</v>
      </c>
      <c r="D43" s="5">
        <v>1</v>
      </c>
      <c r="E43" s="15">
        <v>0</v>
      </c>
      <c r="F43" s="5">
        <f t="shared" si="10"/>
        <v>9</v>
      </c>
      <c r="G43" s="5">
        <f t="shared" si="8"/>
        <v>12</v>
      </c>
      <c r="H43" s="5">
        <f t="shared" si="11"/>
        <v>12</v>
      </c>
      <c r="I43" s="5">
        <f t="shared" si="6"/>
        <v>3</v>
      </c>
      <c r="J43" s="5">
        <f t="shared" si="9"/>
        <v>0</v>
      </c>
      <c r="K43" s="5">
        <f t="shared" si="7"/>
        <v>2</v>
      </c>
      <c r="L43" s="5"/>
      <c r="M43" s="6"/>
    </row>
    <row r="44" spans="1:13" x14ac:dyDescent="0.25">
      <c r="A44" s="4"/>
      <c r="B44" s="5"/>
      <c r="C44" s="5">
        <v>11</v>
      </c>
      <c r="D44" s="5">
        <v>1</v>
      </c>
      <c r="E44" s="15">
        <v>0</v>
      </c>
      <c r="F44" s="5">
        <f t="shared" si="10"/>
        <v>10</v>
      </c>
      <c r="G44" s="5">
        <f t="shared" si="8"/>
        <v>12</v>
      </c>
      <c r="H44" s="5">
        <f t="shared" si="11"/>
        <v>12</v>
      </c>
      <c r="I44" s="5">
        <f t="shared" si="6"/>
        <v>2</v>
      </c>
      <c r="J44" s="5">
        <f t="shared" si="9"/>
        <v>0</v>
      </c>
      <c r="K44" s="5">
        <f t="shared" si="7"/>
        <v>3</v>
      </c>
      <c r="L44" s="5"/>
      <c r="M44" s="6"/>
    </row>
    <row r="45" spans="1:13" x14ac:dyDescent="0.25">
      <c r="A45" s="4"/>
      <c r="B45" s="5"/>
      <c r="C45" s="5">
        <v>12</v>
      </c>
      <c r="D45" s="5">
        <v>1</v>
      </c>
      <c r="E45" s="15">
        <v>0</v>
      </c>
      <c r="F45" s="5">
        <f t="shared" si="10"/>
        <v>11</v>
      </c>
      <c r="G45" s="5">
        <f t="shared" si="8"/>
        <v>12</v>
      </c>
      <c r="H45" s="5">
        <f t="shared" si="11"/>
        <v>12</v>
      </c>
      <c r="I45" s="5">
        <f t="shared" si="6"/>
        <v>1</v>
      </c>
      <c r="J45" s="5">
        <f t="shared" si="9"/>
        <v>0</v>
      </c>
      <c r="K45" s="5">
        <f t="shared" si="7"/>
        <v>3</v>
      </c>
      <c r="L45" s="5"/>
      <c r="M45" s="6"/>
    </row>
    <row r="46" spans="1:13" x14ac:dyDescent="0.25">
      <c r="A46" s="4"/>
      <c r="B46" s="5"/>
      <c r="C46" s="5">
        <v>13</v>
      </c>
      <c r="D46" s="5">
        <v>1</v>
      </c>
      <c r="E46" s="15">
        <v>2</v>
      </c>
      <c r="F46" s="5">
        <f t="shared" si="10"/>
        <v>12</v>
      </c>
      <c r="G46" s="5">
        <f t="shared" si="8"/>
        <v>12</v>
      </c>
      <c r="H46" s="5">
        <f t="shared" si="11"/>
        <v>14</v>
      </c>
      <c r="I46" s="5">
        <f t="shared" si="6"/>
        <v>0</v>
      </c>
      <c r="J46" s="5">
        <f t="shared" si="9"/>
        <v>0</v>
      </c>
      <c r="K46" s="5">
        <f t="shared" si="7"/>
        <v>0</v>
      </c>
      <c r="L46" s="5"/>
      <c r="M46" s="6"/>
    </row>
    <row r="47" spans="1:13" x14ac:dyDescent="0.25">
      <c r="A47" s="4"/>
      <c r="B47" s="5"/>
      <c r="C47" s="5">
        <v>14</v>
      </c>
      <c r="D47" s="5">
        <v>1</v>
      </c>
      <c r="E47" s="15">
        <v>0</v>
      </c>
      <c r="F47" s="5">
        <f t="shared" si="10"/>
        <v>13</v>
      </c>
      <c r="G47" s="5">
        <f t="shared" si="8"/>
        <v>14</v>
      </c>
      <c r="H47" s="5">
        <f t="shared" si="11"/>
        <v>14</v>
      </c>
      <c r="I47" s="5">
        <f t="shared" si="6"/>
        <v>1</v>
      </c>
      <c r="J47" s="5">
        <f t="shared" si="9"/>
        <v>0</v>
      </c>
      <c r="K47" s="5">
        <f t="shared" si="7"/>
        <v>1</v>
      </c>
      <c r="L47" s="5"/>
      <c r="M47" s="6"/>
    </row>
    <row r="48" spans="1:13" x14ac:dyDescent="0.25">
      <c r="A48" s="4"/>
      <c r="B48" s="5"/>
      <c r="C48" s="5">
        <v>15</v>
      </c>
      <c r="D48" s="5">
        <v>1</v>
      </c>
      <c r="E48" s="15">
        <v>0</v>
      </c>
      <c r="F48" s="5">
        <f t="shared" si="10"/>
        <v>14</v>
      </c>
      <c r="G48" s="5">
        <f t="shared" si="8"/>
        <v>14</v>
      </c>
      <c r="H48" s="5">
        <f t="shared" si="11"/>
        <v>14</v>
      </c>
      <c r="I48" s="5">
        <f t="shared" si="6"/>
        <v>0</v>
      </c>
      <c r="J48" s="5">
        <f t="shared" si="9"/>
        <v>0</v>
      </c>
      <c r="K48" s="5">
        <f t="shared" si="7"/>
        <v>0</v>
      </c>
      <c r="L48" s="5"/>
      <c r="M48" s="6"/>
    </row>
    <row r="49" spans="1:13" x14ac:dyDescent="0.25">
      <c r="A49" s="4"/>
      <c r="B49" s="5"/>
      <c r="C49" s="5">
        <v>16</v>
      </c>
      <c r="D49" s="5">
        <v>1</v>
      </c>
      <c r="E49" s="15">
        <v>0.5</v>
      </c>
      <c r="F49" s="5">
        <f t="shared" si="10"/>
        <v>15</v>
      </c>
      <c r="G49" s="5">
        <f t="shared" si="8"/>
        <v>15</v>
      </c>
      <c r="H49" s="5">
        <f t="shared" si="11"/>
        <v>15.5</v>
      </c>
      <c r="I49" s="5">
        <f t="shared" si="6"/>
        <v>0</v>
      </c>
      <c r="J49" s="5">
        <f t="shared" si="9"/>
        <v>1</v>
      </c>
      <c r="K49" s="5">
        <f t="shared" si="7"/>
        <v>0</v>
      </c>
      <c r="L49" s="5"/>
      <c r="M49" s="6"/>
    </row>
    <row r="50" spans="1:13" x14ac:dyDescent="0.25">
      <c r="A50" s="4"/>
      <c r="B50" s="5"/>
      <c r="C50" s="5">
        <v>17</v>
      </c>
      <c r="D50" s="5">
        <v>1</v>
      </c>
      <c r="E50" s="15">
        <v>0</v>
      </c>
      <c r="F50" s="5">
        <f t="shared" si="10"/>
        <v>16</v>
      </c>
      <c r="G50" s="5">
        <f t="shared" si="8"/>
        <v>16</v>
      </c>
      <c r="H50" s="5">
        <f t="shared" si="11"/>
        <v>16</v>
      </c>
      <c r="I50" s="5">
        <f t="shared" si="6"/>
        <v>0</v>
      </c>
      <c r="J50" s="5">
        <f t="shared" si="9"/>
        <v>0.5</v>
      </c>
      <c r="K50" s="5">
        <f t="shared" si="7"/>
        <v>0</v>
      </c>
      <c r="L50" s="5"/>
      <c r="M50" s="6"/>
    </row>
    <row r="51" spans="1:13" x14ac:dyDescent="0.25">
      <c r="A51" s="4"/>
      <c r="B51" s="5"/>
      <c r="C51" s="5">
        <v>18</v>
      </c>
      <c r="D51" s="5">
        <v>1</v>
      </c>
      <c r="E51" s="15">
        <v>1.5</v>
      </c>
      <c r="F51" s="5">
        <f t="shared" si="10"/>
        <v>17</v>
      </c>
      <c r="G51" s="5">
        <f t="shared" si="8"/>
        <v>17</v>
      </c>
      <c r="H51" s="5">
        <f t="shared" si="11"/>
        <v>18.5</v>
      </c>
      <c r="I51" s="5">
        <f t="shared" si="6"/>
        <v>0</v>
      </c>
      <c r="J51" s="5">
        <f t="shared" si="9"/>
        <v>1</v>
      </c>
      <c r="K51" s="5">
        <f t="shared" si="7"/>
        <v>0</v>
      </c>
      <c r="L51" s="5"/>
      <c r="M51" s="6"/>
    </row>
    <row r="52" spans="1:13" x14ac:dyDescent="0.25">
      <c r="A52" s="4"/>
      <c r="B52" s="5"/>
      <c r="C52" s="5">
        <v>19</v>
      </c>
      <c r="D52" s="5">
        <v>1</v>
      </c>
      <c r="E52" s="15">
        <v>3</v>
      </c>
      <c r="F52" s="5">
        <f t="shared" si="10"/>
        <v>18</v>
      </c>
      <c r="G52" s="5">
        <f t="shared" si="8"/>
        <v>18.5</v>
      </c>
      <c r="H52" s="5">
        <f t="shared" si="11"/>
        <v>21.5</v>
      </c>
      <c r="I52" s="5">
        <f t="shared" si="6"/>
        <v>0.5</v>
      </c>
      <c r="J52" s="5">
        <f t="shared" si="9"/>
        <v>0</v>
      </c>
      <c r="K52" s="5">
        <f t="shared" si="7"/>
        <v>1</v>
      </c>
      <c r="L52" s="5"/>
      <c r="M52" s="6"/>
    </row>
    <row r="53" spans="1:13" x14ac:dyDescent="0.25">
      <c r="A53" s="4"/>
      <c r="B53" s="5"/>
      <c r="C53" s="5">
        <v>20</v>
      </c>
      <c r="D53" s="5">
        <v>1</v>
      </c>
      <c r="E53" s="15">
        <v>0</v>
      </c>
      <c r="F53" s="5">
        <f t="shared" si="10"/>
        <v>19</v>
      </c>
      <c r="G53" s="5">
        <f t="shared" si="8"/>
        <v>21.5</v>
      </c>
      <c r="H53" s="5">
        <f t="shared" si="11"/>
        <v>21.5</v>
      </c>
      <c r="I53" s="5">
        <f t="shared" si="6"/>
        <v>2.5</v>
      </c>
      <c r="J53" s="5">
        <f>G53-H52</f>
        <v>0</v>
      </c>
      <c r="K53" s="5">
        <f t="shared" si="7"/>
        <v>1</v>
      </c>
      <c r="L53" s="5"/>
      <c r="M53" s="6"/>
    </row>
    <row r="54" spans="1:13" x14ac:dyDescent="0.25">
      <c r="A54" s="4"/>
      <c r="B54" s="5"/>
      <c r="C54" s="5"/>
      <c r="D54" s="5"/>
      <c r="E54" s="5"/>
      <c r="F54" s="5"/>
      <c r="G54" s="5"/>
      <c r="H54" s="5"/>
      <c r="I54" s="5"/>
      <c r="J54" s="5"/>
      <c r="K54" s="5"/>
      <c r="L54" s="5"/>
      <c r="M54" s="6"/>
    </row>
    <row r="55" spans="1:13" x14ac:dyDescent="0.25">
      <c r="A55" s="4"/>
      <c r="B55" s="5"/>
      <c r="C55" s="5" t="s">
        <v>30</v>
      </c>
      <c r="D55" s="5"/>
      <c r="E55" s="5"/>
      <c r="F55" s="5"/>
      <c r="G55" s="5"/>
      <c r="H55" s="5"/>
      <c r="I55" s="5"/>
      <c r="J55" s="5"/>
      <c r="K55" s="5"/>
      <c r="L55" s="5"/>
      <c r="M55" s="6"/>
    </row>
    <row r="56" spans="1:13" ht="45" x14ac:dyDescent="0.25">
      <c r="A56" s="4"/>
      <c r="B56" s="5"/>
      <c r="C56" s="12" t="s">
        <v>21</v>
      </c>
      <c r="D56" s="12" t="s">
        <v>5</v>
      </c>
      <c r="E56" s="12" t="s">
        <v>22</v>
      </c>
      <c r="F56" s="12" t="s">
        <v>25</v>
      </c>
      <c r="G56" s="12" t="s">
        <v>26</v>
      </c>
      <c r="H56" s="12" t="s">
        <v>9</v>
      </c>
      <c r="I56" s="12" t="s">
        <v>24</v>
      </c>
      <c r="J56" s="12" t="s">
        <v>23</v>
      </c>
      <c r="K56" s="12" t="s">
        <v>12</v>
      </c>
      <c r="L56" s="5"/>
      <c r="M56" s="6"/>
    </row>
    <row r="57" spans="1:13" x14ac:dyDescent="0.25">
      <c r="A57" s="4"/>
      <c r="B57" s="5"/>
      <c r="C57" s="5">
        <v>1</v>
      </c>
      <c r="D57" s="5">
        <v>0</v>
      </c>
      <c r="E57" s="5">
        <v>2.5</v>
      </c>
      <c r="F57" s="5">
        <f>D57</f>
        <v>0</v>
      </c>
      <c r="G57" s="5">
        <f>D57</f>
        <v>0</v>
      </c>
      <c r="H57" s="5">
        <f>G57+E57</f>
        <v>2.5</v>
      </c>
      <c r="I57" s="5">
        <f>G57-F57</f>
        <v>0</v>
      </c>
      <c r="J57" s="5">
        <f>G57</f>
        <v>0</v>
      </c>
      <c r="K57" s="5">
        <f>COUNTIFS($F$57:$F$66,"&lt;="&amp;F57, $G$57:$G$66, "&gt;"&amp;F57)</f>
        <v>0</v>
      </c>
      <c r="L57" s="5"/>
      <c r="M57" s="6"/>
    </row>
    <row r="58" spans="1:13" x14ac:dyDescent="0.25">
      <c r="A58" s="4"/>
      <c r="B58" s="5"/>
      <c r="C58" s="5">
        <v>3</v>
      </c>
      <c r="D58" s="5">
        <v>1</v>
      </c>
      <c r="E58" s="5">
        <v>2</v>
      </c>
      <c r="F58" s="5">
        <f>C58-1</f>
        <v>2</v>
      </c>
      <c r="G58" s="5">
        <f>IF(H57&gt;F58,H57,F58)</f>
        <v>2.5</v>
      </c>
      <c r="H58" s="5">
        <f>G58+E58</f>
        <v>4.5</v>
      </c>
      <c r="I58" s="5">
        <f t="shared" ref="I58:I65" si="12">G58-F58</f>
        <v>0.5</v>
      </c>
      <c r="J58" s="5">
        <f>G58-H57</f>
        <v>0</v>
      </c>
      <c r="K58" s="5">
        <f t="shared" ref="K58:K66" si="13">COUNTIFS($F$57:$F$66,"&lt;="&amp;F58, $G$57:$G$66, "&gt;"&amp;F58)</f>
        <v>1</v>
      </c>
      <c r="L58" s="5"/>
      <c r="M58" s="6"/>
    </row>
    <row r="59" spans="1:13" x14ac:dyDescent="0.25">
      <c r="A59" s="4"/>
      <c r="B59" s="5"/>
      <c r="C59" s="5">
        <v>5</v>
      </c>
      <c r="D59" s="5">
        <v>1</v>
      </c>
      <c r="E59" s="5">
        <v>3</v>
      </c>
      <c r="F59" s="5">
        <f t="shared" ref="F59:F66" si="14">C59-1</f>
        <v>4</v>
      </c>
      <c r="G59" s="5">
        <f t="shared" ref="G59:G66" si="15">IF(H58&gt;F59,H58,F59)</f>
        <v>4.5</v>
      </c>
      <c r="H59" s="5">
        <f>G59+E59</f>
        <v>7.5</v>
      </c>
      <c r="I59" s="5">
        <f t="shared" si="12"/>
        <v>0.5</v>
      </c>
      <c r="J59" s="5">
        <f t="shared" ref="J59:J65" si="16">G59-H58</f>
        <v>0</v>
      </c>
      <c r="K59" s="5">
        <f t="shared" si="13"/>
        <v>1</v>
      </c>
      <c r="L59" s="5"/>
      <c r="M59" s="6"/>
    </row>
    <row r="60" spans="1:13" x14ac:dyDescent="0.25">
      <c r="A60" s="4"/>
      <c r="B60" s="5"/>
      <c r="C60" s="5">
        <v>6</v>
      </c>
      <c r="D60" s="5">
        <v>1</v>
      </c>
      <c r="E60" s="5">
        <v>1.5</v>
      </c>
      <c r="F60" s="5">
        <f t="shared" si="14"/>
        <v>5</v>
      </c>
      <c r="G60" s="5">
        <f t="shared" si="15"/>
        <v>7.5</v>
      </c>
      <c r="H60" s="5">
        <f>G60+E60</f>
        <v>9</v>
      </c>
      <c r="I60" s="5">
        <f t="shared" si="12"/>
        <v>2.5</v>
      </c>
      <c r="J60" s="5">
        <f t="shared" si="16"/>
        <v>0</v>
      </c>
      <c r="K60" s="5">
        <f t="shared" si="13"/>
        <v>1</v>
      </c>
      <c r="L60" s="5"/>
      <c r="M60" s="6"/>
    </row>
    <row r="61" spans="1:13" x14ac:dyDescent="0.25">
      <c r="A61" s="4"/>
      <c r="B61" s="5"/>
      <c r="C61" s="5">
        <v>8</v>
      </c>
      <c r="D61" s="5">
        <v>1</v>
      </c>
      <c r="E61" s="15">
        <v>2</v>
      </c>
      <c r="F61" s="5">
        <f t="shared" si="14"/>
        <v>7</v>
      </c>
      <c r="G61" s="5">
        <f t="shared" si="15"/>
        <v>9</v>
      </c>
      <c r="H61" s="5">
        <f t="shared" ref="H61:H66" si="17">G61+E61</f>
        <v>11</v>
      </c>
      <c r="I61" s="5">
        <f t="shared" si="12"/>
        <v>2</v>
      </c>
      <c r="J61" s="5">
        <f t="shared" si="16"/>
        <v>0</v>
      </c>
      <c r="K61" s="5">
        <f t="shared" si="13"/>
        <v>2</v>
      </c>
      <c r="L61" s="5"/>
      <c r="M61" s="6"/>
    </row>
    <row r="62" spans="1:13" x14ac:dyDescent="0.25">
      <c r="A62" s="4"/>
      <c r="B62" s="5"/>
      <c r="C62" s="5">
        <v>9</v>
      </c>
      <c r="D62" s="5">
        <v>1</v>
      </c>
      <c r="E62" s="15">
        <v>1</v>
      </c>
      <c r="F62" s="5">
        <f t="shared" si="14"/>
        <v>8</v>
      </c>
      <c r="G62" s="5">
        <f t="shared" si="15"/>
        <v>11</v>
      </c>
      <c r="H62" s="5">
        <f t="shared" si="17"/>
        <v>12</v>
      </c>
      <c r="I62" s="5">
        <f t="shared" si="12"/>
        <v>3</v>
      </c>
      <c r="J62" s="5">
        <f t="shared" si="16"/>
        <v>0</v>
      </c>
      <c r="K62" s="5">
        <f t="shared" si="13"/>
        <v>2</v>
      </c>
      <c r="L62" s="5"/>
      <c r="M62" s="6"/>
    </row>
    <row r="63" spans="1:13" x14ac:dyDescent="0.25">
      <c r="A63" s="4"/>
      <c r="B63" s="5"/>
      <c r="C63" s="5">
        <v>13</v>
      </c>
      <c r="D63" s="5">
        <v>1</v>
      </c>
      <c r="E63" s="15">
        <v>2</v>
      </c>
      <c r="F63" s="5">
        <f t="shared" si="14"/>
        <v>12</v>
      </c>
      <c r="G63" s="5">
        <f t="shared" si="15"/>
        <v>12</v>
      </c>
      <c r="H63" s="5">
        <f t="shared" si="17"/>
        <v>14</v>
      </c>
      <c r="I63" s="5">
        <f t="shared" si="12"/>
        <v>0</v>
      </c>
      <c r="J63" s="5">
        <f t="shared" si="16"/>
        <v>0</v>
      </c>
      <c r="K63" s="5">
        <f t="shared" si="13"/>
        <v>0</v>
      </c>
      <c r="L63" s="5"/>
      <c r="M63" s="6"/>
    </row>
    <row r="64" spans="1:13" x14ac:dyDescent="0.25">
      <c r="A64" s="4"/>
      <c r="B64" s="5"/>
      <c r="C64" s="5">
        <v>16</v>
      </c>
      <c r="D64" s="5">
        <v>1</v>
      </c>
      <c r="E64" s="15">
        <v>0.5</v>
      </c>
      <c r="F64" s="5">
        <f t="shared" si="14"/>
        <v>15</v>
      </c>
      <c r="G64" s="5">
        <f t="shared" si="15"/>
        <v>15</v>
      </c>
      <c r="H64" s="5">
        <f t="shared" si="17"/>
        <v>15.5</v>
      </c>
      <c r="I64" s="5">
        <f t="shared" si="12"/>
        <v>0</v>
      </c>
      <c r="J64" s="5">
        <f t="shared" si="16"/>
        <v>1</v>
      </c>
      <c r="K64" s="5">
        <f t="shared" si="13"/>
        <v>0</v>
      </c>
      <c r="L64" s="5"/>
      <c r="M64" s="6"/>
    </row>
    <row r="65" spans="1:16" x14ac:dyDescent="0.25">
      <c r="A65" s="4"/>
      <c r="B65" s="5"/>
      <c r="C65" s="5">
        <v>18</v>
      </c>
      <c r="D65" s="5">
        <v>1</v>
      </c>
      <c r="E65" s="15">
        <v>1.5</v>
      </c>
      <c r="F65" s="5">
        <f t="shared" si="14"/>
        <v>17</v>
      </c>
      <c r="G65" s="5">
        <f t="shared" si="15"/>
        <v>17</v>
      </c>
      <c r="H65" s="5">
        <f t="shared" si="17"/>
        <v>18.5</v>
      </c>
      <c r="I65" s="5">
        <f t="shared" si="12"/>
        <v>0</v>
      </c>
      <c r="J65" s="5">
        <f t="shared" si="16"/>
        <v>1.5</v>
      </c>
      <c r="K65" s="5">
        <f t="shared" si="13"/>
        <v>0</v>
      </c>
      <c r="L65" s="5"/>
      <c r="M65" s="6"/>
    </row>
    <row r="66" spans="1:16" x14ac:dyDescent="0.25">
      <c r="A66" s="4"/>
      <c r="B66" s="5"/>
      <c r="C66" s="5">
        <v>19</v>
      </c>
      <c r="D66" s="5">
        <v>1</v>
      </c>
      <c r="E66" s="15">
        <v>3</v>
      </c>
      <c r="F66" s="5">
        <f t="shared" si="14"/>
        <v>18</v>
      </c>
      <c r="G66" s="5">
        <f t="shared" si="15"/>
        <v>18.5</v>
      </c>
      <c r="H66" s="5">
        <f t="shared" si="17"/>
        <v>21.5</v>
      </c>
      <c r="I66" s="5">
        <f>G66-F66</f>
        <v>0.5</v>
      </c>
      <c r="J66" s="5">
        <f>G66-H65</f>
        <v>0</v>
      </c>
      <c r="K66" s="5">
        <f t="shared" si="13"/>
        <v>1</v>
      </c>
      <c r="L66" s="5"/>
      <c r="M66" s="6"/>
    </row>
    <row r="67" spans="1:16" x14ac:dyDescent="0.25">
      <c r="A67" s="4"/>
      <c r="B67" s="5" t="s">
        <v>38</v>
      </c>
      <c r="C67" s="5"/>
      <c r="D67" s="5"/>
      <c r="E67" s="15"/>
      <c r="F67" s="5"/>
      <c r="G67" s="5"/>
      <c r="H67" s="5"/>
      <c r="I67" s="5"/>
      <c r="J67" s="5"/>
      <c r="K67" s="5"/>
      <c r="L67" s="5"/>
      <c r="M67" s="6"/>
    </row>
    <row r="68" spans="1:16" ht="34.5" customHeight="1" x14ac:dyDescent="0.25">
      <c r="A68" s="4"/>
      <c r="B68" s="20" t="s">
        <v>27</v>
      </c>
      <c r="C68" s="20"/>
      <c r="D68" s="20"/>
      <c r="E68" s="7">
        <f>SUM(I57:I66)/COUNTIF(C57:C66,"&gt;0")</f>
        <v>0.9</v>
      </c>
      <c r="F68" s="5" t="s">
        <v>31</v>
      </c>
      <c r="G68" s="5"/>
      <c r="H68" s="5"/>
      <c r="I68" s="5"/>
      <c r="J68" s="5"/>
      <c r="K68" s="5"/>
      <c r="L68" s="5"/>
      <c r="M68" s="6"/>
    </row>
    <row r="69" spans="1:16" ht="79.5" customHeight="1" x14ac:dyDescent="0.25">
      <c r="A69" s="4"/>
      <c r="B69" s="21" t="s">
        <v>28</v>
      </c>
      <c r="C69" s="21"/>
      <c r="D69" s="21"/>
      <c r="E69" s="14">
        <f>(20-SUM(J57:J65))/20</f>
        <v>0.875</v>
      </c>
      <c r="F69" s="5"/>
      <c r="G69" s="5"/>
      <c r="H69" s="5"/>
      <c r="I69" s="5"/>
      <c r="J69" s="5"/>
      <c r="K69" s="5"/>
      <c r="L69" s="5"/>
      <c r="M69" s="6"/>
    </row>
    <row r="70" spans="1:16" ht="15.75" thickBot="1" x14ac:dyDescent="0.3">
      <c r="A70" s="9"/>
      <c r="B70" s="10"/>
      <c r="C70" s="10"/>
      <c r="D70" s="10"/>
      <c r="E70" s="10"/>
      <c r="F70" s="10"/>
      <c r="G70" s="10"/>
      <c r="H70" s="10"/>
      <c r="I70" s="10"/>
      <c r="J70" s="10"/>
      <c r="K70" s="10"/>
      <c r="L70" s="10"/>
      <c r="M70" s="11"/>
    </row>
    <row r="71" spans="1:16" ht="15.75" thickBot="1" x14ac:dyDescent="0.3"/>
    <row r="72" spans="1:16" x14ac:dyDescent="0.25">
      <c r="A72" s="1"/>
      <c r="B72" s="2"/>
      <c r="C72" s="2"/>
      <c r="D72" s="2"/>
      <c r="E72" s="2"/>
      <c r="F72" s="2"/>
      <c r="G72" s="2"/>
      <c r="H72" s="2"/>
      <c r="I72" s="2"/>
      <c r="J72" s="2"/>
      <c r="K72" s="2"/>
      <c r="L72" s="2"/>
      <c r="M72" s="3"/>
    </row>
    <row r="73" spans="1:16" ht="96.75" customHeight="1" x14ac:dyDescent="0.25">
      <c r="A73" s="4"/>
      <c r="B73" s="26">
        <v>4</v>
      </c>
      <c r="C73" s="18" t="s">
        <v>32</v>
      </c>
      <c r="D73" s="18"/>
      <c r="E73" s="18"/>
      <c r="F73" s="18"/>
      <c r="G73" s="18"/>
      <c r="H73" s="18"/>
      <c r="I73" s="18"/>
      <c r="J73" s="18"/>
      <c r="K73" s="18"/>
      <c r="L73" s="18"/>
      <c r="M73" s="6"/>
    </row>
    <row r="74" spans="1:16" x14ac:dyDescent="0.25">
      <c r="A74" s="4"/>
      <c r="B74" s="5"/>
      <c r="C74" s="5"/>
      <c r="D74" s="5"/>
      <c r="E74" s="5"/>
      <c r="F74" s="5"/>
      <c r="G74" s="5"/>
      <c r="H74" s="5"/>
      <c r="I74" s="5"/>
      <c r="J74" s="5"/>
      <c r="K74" s="5"/>
      <c r="L74" s="5"/>
      <c r="M74" s="6"/>
    </row>
    <row r="75" spans="1:16" x14ac:dyDescent="0.25">
      <c r="A75" s="4"/>
      <c r="B75" s="5"/>
      <c r="C75" s="5"/>
      <c r="D75" s="5"/>
      <c r="E75" s="5"/>
      <c r="F75" s="5"/>
      <c r="G75" s="5"/>
      <c r="H75" s="5"/>
      <c r="I75" s="5"/>
      <c r="J75" s="5"/>
      <c r="K75" s="5"/>
      <c r="L75" s="5"/>
      <c r="M75" s="6"/>
    </row>
    <row r="76" spans="1:16" ht="15.75" thickBot="1" x14ac:dyDescent="0.3">
      <c r="A76" s="4"/>
      <c r="B76" s="5"/>
      <c r="C76" s="5" t="s">
        <v>30</v>
      </c>
      <c r="D76" s="5"/>
      <c r="E76" s="5"/>
      <c r="F76" s="5"/>
      <c r="G76" s="22" t="s">
        <v>33</v>
      </c>
      <c r="H76" s="22"/>
      <c r="I76" s="22"/>
      <c r="J76" s="22" t="s">
        <v>34</v>
      </c>
      <c r="K76" s="22"/>
      <c r="L76" s="22"/>
      <c r="M76" s="6"/>
      <c r="O76" s="23"/>
      <c r="P76" s="23"/>
    </row>
    <row r="77" spans="1:16" ht="45" x14ac:dyDescent="0.25">
      <c r="A77" s="4"/>
      <c r="B77" s="5"/>
      <c r="C77" s="12" t="s">
        <v>21</v>
      </c>
      <c r="D77" s="12" t="s">
        <v>5</v>
      </c>
      <c r="E77" s="12" t="s">
        <v>22</v>
      </c>
      <c r="F77" s="12" t="s">
        <v>25</v>
      </c>
      <c r="G77" s="27" t="s">
        <v>26</v>
      </c>
      <c r="H77" s="28" t="s">
        <v>9</v>
      </c>
      <c r="I77" s="29" t="s">
        <v>23</v>
      </c>
      <c r="J77" s="27" t="s">
        <v>26</v>
      </c>
      <c r="K77" s="28" t="s">
        <v>9</v>
      </c>
      <c r="L77" s="29" t="s">
        <v>23</v>
      </c>
      <c r="M77" s="6"/>
      <c r="P77" s="12"/>
    </row>
    <row r="78" spans="1:16" x14ac:dyDescent="0.25">
      <c r="A78" s="4"/>
      <c r="B78" s="5"/>
      <c r="C78" s="5">
        <v>1</v>
      </c>
      <c r="D78" s="5">
        <v>0</v>
      </c>
      <c r="E78" s="5">
        <v>2.5</v>
      </c>
      <c r="F78" s="5">
        <f>D78</f>
        <v>0</v>
      </c>
      <c r="G78" s="4">
        <f>D78</f>
        <v>0</v>
      </c>
      <c r="H78" s="5">
        <f>G78+E78</f>
        <v>2.5</v>
      </c>
      <c r="I78" s="6">
        <f>G78</f>
        <v>0</v>
      </c>
      <c r="J78" s="4"/>
      <c r="K78" s="5"/>
      <c r="L78" s="6"/>
      <c r="M78" s="6"/>
    </row>
    <row r="79" spans="1:16" x14ac:dyDescent="0.25">
      <c r="A79" s="4"/>
      <c r="B79" s="5"/>
      <c r="C79" s="5">
        <v>3</v>
      </c>
      <c r="D79" s="5">
        <v>1</v>
      </c>
      <c r="E79" s="5">
        <v>2</v>
      </c>
      <c r="F79" s="5">
        <f>C79-1</f>
        <v>2</v>
      </c>
      <c r="G79" s="4"/>
      <c r="H79" s="5"/>
      <c r="I79" s="6"/>
      <c r="J79" s="4">
        <f>F79</f>
        <v>2</v>
      </c>
      <c r="K79" s="5">
        <f>J79+F79</f>
        <v>4</v>
      </c>
      <c r="L79" s="6">
        <f>J79</f>
        <v>2</v>
      </c>
      <c r="M79" s="6"/>
    </row>
    <row r="80" spans="1:16" x14ac:dyDescent="0.25">
      <c r="A80" s="4"/>
      <c r="B80" s="5"/>
      <c r="C80" s="5">
        <v>5</v>
      </c>
      <c r="D80" s="5">
        <v>1</v>
      </c>
      <c r="E80" s="5">
        <v>3</v>
      </c>
      <c r="F80" s="5">
        <f t="shared" ref="F80:F87" si="18">C80-1</f>
        <v>4</v>
      </c>
      <c r="G80" s="4">
        <f t="shared" ref="G80:G87" si="19">IF(H79&gt;F80,H79,F80)</f>
        <v>4</v>
      </c>
      <c r="H80" s="5">
        <f>G80+E80</f>
        <v>7</v>
      </c>
      <c r="I80" s="6">
        <f>G80-H78</f>
        <v>1.5</v>
      </c>
      <c r="J80" s="4"/>
      <c r="K80" s="5"/>
      <c r="L80" s="6"/>
      <c r="M80" s="6"/>
    </row>
    <row r="81" spans="1:13" x14ac:dyDescent="0.25">
      <c r="A81" s="4"/>
      <c r="B81" s="5"/>
      <c r="C81" s="5">
        <v>6</v>
      </c>
      <c r="D81" s="5">
        <v>1</v>
      </c>
      <c r="E81" s="5">
        <v>1.5</v>
      </c>
      <c r="F81" s="5">
        <f t="shared" si="18"/>
        <v>5</v>
      </c>
      <c r="G81" s="4"/>
      <c r="H81" s="5"/>
      <c r="I81" s="6"/>
      <c r="J81" s="4">
        <f>F81</f>
        <v>5</v>
      </c>
      <c r="K81" s="5">
        <f>J81+E81</f>
        <v>6.5</v>
      </c>
      <c r="L81" s="6">
        <f>J81-K79</f>
        <v>1</v>
      </c>
      <c r="M81" s="6"/>
    </row>
    <row r="82" spans="1:13" x14ac:dyDescent="0.25">
      <c r="A82" s="4"/>
      <c r="B82" s="5"/>
      <c r="C82" s="5">
        <v>8</v>
      </c>
      <c r="D82" s="5">
        <v>1</v>
      </c>
      <c r="E82" s="15">
        <v>2</v>
      </c>
      <c r="F82" s="5">
        <f t="shared" si="18"/>
        <v>7</v>
      </c>
      <c r="G82" s="4">
        <f t="shared" si="19"/>
        <v>7</v>
      </c>
      <c r="H82" s="5">
        <f t="shared" ref="H82:H87" si="20">G82+E82</f>
        <v>9</v>
      </c>
      <c r="I82" s="6">
        <f>G82-H80</f>
        <v>0</v>
      </c>
      <c r="J82" s="4"/>
      <c r="K82" s="5"/>
      <c r="L82" s="6"/>
      <c r="M82" s="6"/>
    </row>
    <row r="83" spans="1:13" x14ac:dyDescent="0.25">
      <c r="A83" s="4"/>
      <c r="B83" s="5"/>
      <c r="C83" s="5">
        <v>9</v>
      </c>
      <c r="D83" s="5">
        <v>1</v>
      </c>
      <c r="E83" s="15">
        <v>1</v>
      </c>
      <c r="F83" s="5">
        <f t="shared" si="18"/>
        <v>8</v>
      </c>
      <c r="G83" s="4"/>
      <c r="H83" s="5"/>
      <c r="I83" s="6"/>
      <c r="J83" s="4">
        <f>F83</f>
        <v>8</v>
      </c>
      <c r="K83" s="5">
        <f>J83+E83</f>
        <v>9</v>
      </c>
      <c r="L83" s="6">
        <f>J83-K81</f>
        <v>1.5</v>
      </c>
      <c r="M83" s="6"/>
    </row>
    <row r="84" spans="1:13" x14ac:dyDescent="0.25">
      <c r="A84" s="4"/>
      <c r="B84" s="5"/>
      <c r="C84" s="5">
        <v>13</v>
      </c>
      <c r="D84" s="5">
        <v>1</v>
      </c>
      <c r="E84" s="15">
        <v>2</v>
      </c>
      <c r="F84" s="5">
        <f t="shared" si="18"/>
        <v>12</v>
      </c>
      <c r="G84" s="4">
        <f t="shared" si="19"/>
        <v>12</v>
      </c>
      <c r="H84" s="5">
        <f t="shared" si="20"/>
        <v>14</v>
      </c>
      <c r="I84" s="6">
        <f>G84-H82</f>
        <v>3</v>
      </c>
      <c r="J84" s="4"/>
      <c r="K84" s="5"/>
      <c r="L84" s="6"/>
      <c r="M84" s="6"/>
    </row>
    <row r="85" spans="1:13" x14ac:dyDescent="0.25">
      <c r="A85" s="4"/>
      <c r="B85" s="5"/>
      <c r="C85" s="5">
        <v>16</v>
      </c>
      <c r="D85" s="5">
        <v>1</v>
      </c>
      <c r="E85" s="15">
        <v>0.5</v>
      </c>
      <c r="F85" s="5">
        <f t="shared" si="18"/>
        <v>15</v>
      </c>
      <c r="G85" s="4">
        <f t="shared" si="19"/>
        <v>15</v>
      </c>
      <c r="H85" s="5">
        <f t="shared" si="20"/>
        <v>15.5</v>
      </c>
      <c r="I85" s="6">
        <f>G85-H84</f>
        <v>1</v>
      </c>
      <c r="J85" s="4"/>
      <c r="K85" s="5"/>
      <c r="L85" s="6"/>
      <c r="M85" s="6"/>
    </row>
    <row r="86" spans="1:13" x14ac:dyDescent="0.25">
      <c r="A86" s="4"/>
      <c r="B86" s="5"/>
      <c r="C86" s="5">
        <v>18</v>
      </c>
      <c r="D86" s="5">
        <v>1</v>
      </c>
      <c r="E86" s="15">
        <v>1.5</v>
      </c>
      <c r="F86" s="5">
        <f t="shared" si="18"/>
        <v>17</v>
      </c>
      <c r="G86" s="4">
        <f t="shared" si="19"/>
        <v>17</v>
      </c>
      <c r="H86" s="5">
        <f t="shared" si="20"/>
        <v>18.5</v>
      </c>
      <c r="I86" s="6">
        <f>G86-H85</f>
        <v>1.5</v>
      </c>
      <c r="J86" s="4"/>
      <c r="K86" s="5"/>
      <c r="L86" s="6"/>
      <c r="M86" s="6"/>
    </row>
    <row r="87" spans="1:13" ht="15.75" thickBot="1" x14ac:dyDescent="0.3">
      <c r="A87" s="4"/>
      <c r="B87" s="5"/>
      <c r="C87" s="5">
        <v>19</v>
      </c>
      <c r="D87" s="5">
        <v>1</v>
      </c>
      <c r="E87" s="15">
        <v>3</v>
      </c>
      <c r="F87" s="5">
        <f t="shared" si="18"/>
        <v>18</v>
      </c>
      <c r="G87" s="9"/>
      <c r="H87" s="10"/>
      <c r="I87" s="11"/>
      <c r="J87" s="9">
        <f>F87</f>
        <v>18</v>
      </c>
      <c r="K87" s="10">
        <f>J87+E87</f>
        <v>21</v>
      </c>
      <c r="L87" s="11">
        <f>J87-K83</f>
        <v>9</v>
      </c>
      <c r="M87" s="6"/>
    </row>
    <row r="88" spans="1:13" x14ac:dyDescent="0.25">
      <c r="A88" s="4"/>
      <c r="B88" s="5"/>
      <c r="C88" s="5"/>
      <c r="D88" s="5"/>
      <c r="E88" s="5"/>
      <c r="F88" s="5"/>
      <c r="G88" s="5"/>
      <c r="H88" s="5"/>
      <c r="I88" s="5"/>
      <c r="J88" s="5"/>
      <c r="K88" s="5"/>
      <c r="L88" s="5"/>
      <c r="M88" s="6"/>
    </row>
    <row r="89" spans="1:13" x14ac:dyDescent="0.25">
      <c r="A89" s="4"/>
      <c r="B89" s="5"/>
      <c r="C89" s="5"/>
      <c r="D89" s="5"/>
      <c r="E89" s="5"/>
      <c r="F89" s="5"/>
      <c r="G89" s="5"/>
      <c r="H89" s="5"/>
      <c r="I89" s="5"/>
      <c r="J89" s="5"/>
      <c r="K89" s="5"/>
      <c r="L89" s="5"/>
      <c r="M89" s="6"/>
    </row>
    <row r="90" spans="1:13" x14ac:dyDescent="0.25">
      <c r="A90" s="4"/>
      <c r="B90" s="5"/>
      <c r="C90" s="5"/>
      <c r="D90" s="5"/>
      <c r="E90" s="5" t="s">
        <v>33</v>
      </c>
      <c r="F90" s="5"/>
      <c r="G90" s="5"/>
      <c r="H90" s="5"/>
      <c r="I90" s="5"/>
      <c r="J90" s="5"/>
      <c r="K90" s="5"/>
      <c r="L90" s="5"/>
      <c r="M90" s="6"/>
    </row>
    <row r="91" spans="1:13" x14ac:dyDescent="0.25">
      <c r="A91" s="4"/>
      <c r="B91" s="24" t="s">
        <v>35</v>
      </c>
      <c r="C91" s="24"/>
      <c r="D91" s="24"/>
      <c r="E91" s="25">
        <f>(E78+E80+E82+E84+E85+E86)/20</f>
        <v>0.57499999999999996</v>
      </c>
      <c r="F91" s="25"/>
      <c r="G91" s="5"/>
      <c r="H91" s="5"/>
      <c r="I91" s="5"/>
      <c r="J91" s="5"/>
      <c r="K91" s="5"/>
      <c r="L91" s="5"/>
      <c r="M91" s="6"/>
    </row>
    <row r="92" spans="1:13" x14ac:dyDescent="0.25">
      <c r="A92" s="4"/>
      <c r="B92" s="5"/>
      <c r="C92" s="5"/>
      <c r="D92" s="5"/>
      <c r="E92" s="5"/>
      <c r="F92" s="5"/>
      <c r="G92" s="5"/>
      <c r="H92" s="5"/>
      <c r="I92" s="5"/>
      <c r="J92" s="5"/>
      <c r="K92" s="5"/>
      <c r="L92" s="5"/>
      <c r="M92" s="6"/>
    </row>
    <row r="93" spans="1:13" x14ac:dyDescent="0.25">
      <c r="A93" s="4"/>
      <c r="B93" s="7" t="s">
        <v>1</v>
      </c>
      <c r="C93" s="7" t="s">
        <v>36</v>
      </c>
      <c r="D93" s="19"/>
      <c r="E93" s="5"/>
      <c r="F93" s="5"/>
      <c r="G93" s="5"/>
      <c r="H93" s="5"/>
      <c r="I93" s="5"/>
      <c r="J93" s="5"/>
      <c r="K93" s="5"/>
      <c r="L93" s="5"/>
      <c r="M93" s="6"/>
    </row>
    <row r="94" spans="1:13" ht="15.75" thickBot="1" x14ac:dyDescent="0.3">
      <c r="A94" s="9"/>
      <c r="B94" s="10"/>
      <c r="C94" s="10"/>
      <c r="D94" s="10"/>
      <c r="E94" s="10"/>
      <c r="F94" s="10"/>
      <c r="G94" s="10"/>
      <c r="H94" s="10"/>
      <c r="I94" s="10"/>
      <c r="J94" s="10"/>
      <c r="K94" s="10"/>
      <c r="L94" s="10"/>
      <c r="M94" s="11"/>
    </row>
  </sheetData>
  <mergeCells count="15">
    <mergeCell ref="B91:D91"/>
    <mergeCell ref="C73:L73"/>
    <mergeCell ref="G76:I76"/>
    <mergeCell ref="J76:L76"/>
    <mergeCell ref="C4:L5"/>
    <mergeCell ref="C10:L10"/>
    <mergeCell ref="B21:D21"/>
    <mergeCell ref="B22:D22"/>
    <mergeCell ref="B23:D23"/>
    <mergeCell ref="B69:D69"/>
    <mergeCell ref="B68:D68"/>
    <mergeCell ref="B24:D24"/>
    <mergeCell ref="B25:D25"/>
    <mergeCell ref="B26:D26"/>
    <mergeCell ref="C30:L30"/>
  </mergeCells>
  <pageMargins left="0.7" right="0.7" top="0.75" bottom="0.75" header="0.3" footer="0.3"/>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HW1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David B CIV USARMY PEO MS (USA)</dc:creator>
  <cp:lastModifiedBy>Johnson, David B CIV USARMY PEO MS (USA)</cp:lastModifiedBy>
  <dcterms:created xsi:type="dcterms:W3CDTF">2026-01-15T00:29:04Z</dcterms:created>
  <dcterms:modified xsi:type="dcterms:W3CDTF">2026-01-15T04:33:14Z</dcterms:modified>
</cp:coreProperties>
</file>