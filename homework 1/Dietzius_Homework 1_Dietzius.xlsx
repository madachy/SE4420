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s Degree\Quarter 6\SE4420 Mod and Sim in Acq\"/>
    </mc:Choice>
  </mc:AlternateContent>
  <xr:revisionPtr revIDLastSave="0" documentId="13_ncr:1_{FFA563EA-FF4D-4D0B-98F2-CD02975D6284}" xr6:coauthVersionLast="47" xr6:coauthVersionMax="47" xr10:uidLastSave="{00000000-0000-0000-0000-000000000000}"/>
  <bookViews>
    <workbookView xWindow="38490" yWindow="1800" windowWidth="18720" windowHeight="12240" xr2:uid="{ACEB2400-1510-4C63-BFE2-A1CB13473B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2" i="1" l="1"/>
  <c r="R21" i="1"/>
  <c r="B42" i="1"/>
  <c r="N30" i="1"/>
  <c r="N32" i="1"/>
  <c r="N33" i="1"/>
  <c r="N35" i="1"/>
  <c r="N36" i="1"/>
  <c r="N40" i="1"/>
  <c r="N43" i="1"/>
  <c r="N45" i="1"/>
  <c r="N46" i="1"/>
  <c r="N28" i="1"/>
  <c r="P21" i="1"/>
  <c r="N21" i="1"/>
  <c r="L21" i="1"/>
  <c r="H21" i="1"/>
  <c r="J21" i="1"/>
  <c r="N14" i="1"/>
  <c r="L12" i="1"/>
  <c r="L11" i="1"/>
  <c r="M11" i="1" s="1"/>
  <c r="O11" i="1"/>
  <c r="N10" i="1"/>
  <c r="M10" i="1"/>
  <c r="L10" i="1"/>
  <c r="K14" i="1"/>
  <c r="K13" i="1"/>
  <c r="K12" i="1"/>
  <c r="K11" i="1"/>
  <c r="K10" i="1"/>
  <c r="M9" i="1"/>
  <c r="H3" i="1"/>
  <c r="O12" i="1" l="1"/>
  <c r="M12" i="1"/>
  <c r="L13" i="1" l="1"/>
  <c r="M13" i="1" s="1"/>
  <c r="N13" i="1"/>
  <c r="L14" i="1" l="1"/>
  <c r="M14" i="1" s="1"/>
</calcChain>
</file>

<file path=xl/sharedStrings.xml><?xml version="1.0" encoding="utf-8"?>
<sst xmlns="http://schemas.openxmlformats.org/spreadsheetml/2006/main" count="81" uniqueCount="37">
  <si>
    <t>people</t>
  </si>
  <si>
    <t>L hat</t>
  </si>
  <si>
    <t>2. (4 points) Compute this problem manually without the aid of a simulation tool. A Navy helicopter mechanic starts his shift and services incoming helicopters at the following inter arrival times in hours:</t>
  </si>
  <si>
    <t>[0, 1.4, 2.1, 1.9, 0.2, 1.5]</t>
  </si>
  <si>
    <t>Thus the first pilot arrives at the very beginning of his shift. The respective helicopter service times in hours are:</t>
  </si>
  <si>
    <t>[2.2, 1.2, .3, 2.8, .2, 1.8]</t>
  </si>
  <si>
    <r>
      <t xml:space="preserve">Calculate the </t>
    </r>
    <r>
      <rPr>
        <u/>
        <sz val="11"/>
        <color theme="1"/>
        <rFont val="Times New Roman"/>
        <family val="1"/>
      </rPr>
      <t>minimum and maximum queue length</t>
    </r>
    <r>
      <rPr>
        <sz val="11"/>
        <color theme="1"/>
        <rFont val="Times New Roman"/>
        <family val="1"/>
      </rPr>
      <t xml:space="preserve"> for this period, the </t>
    </r>
    <r>
      <rPr>
        <u/>
        <sz val="11"/>
        <color theme="1"/>
        <rFont val="Times New Roman"/>
        <family val="1"/>
      </rPr>
      <t>total queue time</t>
    </r>
    <r>
      <rPr>
        <sz val="11"/>
        <color theme="1"/>
        <rFont val="Times New Roman"/>
        <family val="1"/>
      </rPr>
      <t xml:space="preserve"> (total time spent in queue for all pilots), the </t>
    </r>
    <r>
      <rPr>
        <u/>
        <sz val="11"/>
        <color theme="1"/>
        <rFont val="Times New Roman"/>
        <family val="1"/>
      </rPr>
      <t>average waiting time in queue</t>
    </r>
    <r>
      <rPr>
        <sz val="11"/>
        <color theme="1"/>
        <rFont val="Times New Roman"/>
        <family val="1"/>
      </rPr>
      <t>, the</t>
    </r>
    <r>
      <rPr>
        <u/>
        <sz val="11"/>
        <color theme="1"/>
        <rFont val="Times New Roman"/>
        <family val="1"/>
      </rPr>
      <t xml:space="preserve"> total idle time for the mechanic</t>
    </r>
    <r>
      <rPr>
        <sz val="11"/>
        <color theme="1"/>
        <rFont val="Times New Roman"/>
        <family val="1"/>
      </rPr>
      <t xml:space="preserve">, and the </t>
    </r>
    <r>
      <rPr>
        <u/>
        <sz val="11"/>
        <color theme="1"/>
        <rFont val="Times New Roman"/>
        <family val="1"/>
      </rPr>
      <t>resource utilization</t>
    </r>
    <r>
      <rPr>
        <sz val="11"/>
        <color theme="1"/>
        <rFont val="Times New Roman"/>
        <family val="1"/>
      </rPr>
      <t xml:space="preserve"> for the mechanic. Show all your work.</t>
    </r>
  </si>
  <si>
    <t>Helo #</t>
  </si>
  <si>
    <t>Interval Arrival Time</t>
  </si>
  <si>
    <t>Mx Time</t>
  </si>
  <si>
    <t>Mx Start Time</t>
  </si>
  <si>
    <t>Mx End Time</t>
  </si>
  <si>
    <t>Service Idle Time</t>
  </si>
  <si>
    <t>Wait Time</t>
  </si>
  <si>
    <t>(Hours)</t>
  </si>
  <si>
    <t xml:space="preserve">Queue Length Start </t>
  </si>
  <si>
    <t>Queue Length End</t>
  </si>
  <si>
    <t>Clock Arrival Time</t>
  </si>
  <si>
    <t xml:space="preserve">Min Queue Length </t>
  </si>
  <si>
    <t>Max Queue Length</t>
  </si>
  <si>
    <t>Total Queue Time</t>
  </si>
  <si>
    <t>Average Wait Time</t>
  </si>
  <si>
    <t>Total Mx Idle Time</t>
  </si>
  <si>
    <t>Resource Utilization</t>
  </si>
  <si>
    <t>1) What is the average waiting time for the ships that need service?</t>
  </si>
  <si>
    <t xml:space="preserve">2) Calculate the 20 day resource utilization of the single facility using fractional days. The facility is open and staffed 24 hours each day available for service. </t>
  </si>
  <si>
    <t>Service Time</t>
  </si>
  <si>
    <t>Arrival Time</t>
  </si>
  <si>
    <t>Service Start</t>
  </si>
  <si>
    <t>Service End</t>
  </si>
  <si>
    <t>Ship #</t>
  </si>
  <si>
    <t>3. (5points) Below is another depiction of the class example for the Navy cargo ship maintenance facility scenario. This is for the single facility configuration and all time units are in days.</t>
  </si>
  <si>
    <t>1. (1 point) The length of a queue during a 30 minute period is 3 for the first 5 minutes, 4 for the next ten minutes, 2 for the next 6 minutes, and 3 for the last 9 minutes. What is the average queue length for this time?</t>
  </si>
  <si>
    <t>-</t>
  </si>
  <si>
    <t>days</t>
  </si>
  <si>
    <t>4. (1 point) In Problem 3, how might the resource utilization change for the first facility when a second facility is added? In this case ships will be serviced by the second facility when the first is busy. Assume the same inputs for ship arrivals and service durations.</t>
  </si>
  <si>
    <t>C. It will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</si>
</sst>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165" fontId="2" fillId="2" borderId="9" xfId="0" applyNumberFormat="1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0" fontId="2" fillId="2" borderId="6" xfId="1" applyNumberFormat="1" applyFont="1" applyFill="1" applyBorder="1" applyAlignment="1">
      <alignment horizontal="center"/>
    </xf>
    <xf numFmtId="10" fontId="2" fillId="2" borderId="7" xfId="1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2" fontId="2" fillId="0" borderId="0" xfId="0" applyNumberFormat="1" applyFont="1" applyFill="1" applyAlignment="1">
      <alignment horizontal="center"/>
    </xf>
    <xf numFmtId="43" fontId="2" fillId="2" borderId="0" xfId="2" applyFont="1" applyFill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D106-E534-4188-8330-FCDAC31B5BB2}">
  <dimension ref="A1:S57"/>
  <sheetViews>
    <sheetView tabSelected="1" topLeftCell="A25" workbookViewId="0">
      <selection activeCell="G42" sqref="G42"/>
    </sheetView>
  </sheetViews>
  <sheetFormatPr defaultRowHeight="15" x14ac:dyDescent="0.25"/>
  <cols>
    <col min="1" max="8" width="9.140625" style="1"/>
    <col min="9" max="9" width="9.140625" style="1" customWidth="1"/>
    <col min="10" max="16384" width="9.140625" style="1"/>
  </cols>
  <sheetData>
    <row r="1" spans="1:17" ht="15" customHeight="1" thickBot="1" x14ac:dyDescent="0.3">
      <c r="A1" s="14" t="s">
        <v>32</v>
      </c>
      <c r="B1" s="14"/>
      <c r="C1" s="14"/>
      <c r="D1" s="14"/>
      <c r="E1" s="14"/>
      <c r="F1" s="14"/>
    </row>
    <row r="2" spans="1:17" x14ac:dyDescent="0.25">
      <c r="A2" s="14"/>
      <c r="B2" s="14"/>
      <c r="C2" s="14"/>
      <c r="D2" s="14"/>
      <c r="E2" s="14"/>
      <c r="F2" s="14"/>
      <c r="H2" s="6" t="s">
        <v>1</v>
      </c>
    </row>
    <row r="3" spans="1:17" ht="15.75" thickBot="1" x14ac:dyDescent="0.3">
      <c r="A3" s="14"/>
      <c r="B3" s="14"/>
      <c r="C3" s="14"/>
      <c r="D3" s="14"/>
      <c r="E3" s="14"/>
      <c r="F3" s="14"/>
      <c r="H3" s="7">
        <f>((3*5)+(4*10)+(2*6)+(3*9))/30</f>
        <v>3.1333333333333333</v>
      </c>
      <c r="I3" s="1" t="s">
        <v>0</v>
      </c>
    </row>
    <row r="4" spans="1:17" x14ac:dyDescent="0.25">
      <c r="A4" s="14"/>
      <c r="B4" s="14"/>
      <c r="C4" s="14"/>
      <c r="D4" s="14"/>
      <c r="E4" s="14"/>
      <c r="F4" s="14"/>
    </row>
    <row r="5" spans="1:17" x14ac:dyDescent="0.25">
      <c r="A5" s="14"/>
      <c r="B5" s="14"/>
      <c r="C5" s="14"/>
      <c r="D5" s="14"/>
      <c r="E5" s="14"/>
      <c r="F5" s="14"/>
    </row>
    <row r="6" spans="1:17" s="10" customFormat="1" x14ac:dyDescent="0.25"/>
    <row r="7" spans="1:17" ht="15.75" thickBot="1" x14ac:dyDescent="0.3"/>
    <row r="8" spans="1:17" ht="45.75" thickBot="1" x14ac:dyDescent="0.3">
      <c r="A8" s="14" t="s">
        <v>2</v>
      </c>
      <c r="B8" s="14"/>
      <c r="C8" s="14"/>
      <c r="D8" s="14"/>
      <c r="E8" s="14"/>
      <c r="F8" s="14"/>
      <c r="H8" s="3" t="s">
        <v>7</v>
      </c>
      <c r="I8" s="4" t="s">
        <v>8</v>
      </c>
      <c r="J8" s="4" t="s">
        <v>9</v>
      </c>
      <c r="K8" s="4" t="s">
        <v>17</v>
      </c>
      <c r="L8" s="4" t="s">
        <v>10</v>
      </c>
      <c r="M8" s="4" t="s">
        <v>11</v>
      </c>
      <c r="N8" s="4" t="s">
        <v>13</v>
      </c>
      <c r="O8" s="4" t="s">
        <v>12</v>
      </c>
      <c r="P8" s="4" t="s">
        <v>15</v>
      </c>
      <c r="Q8" s="5" t="s">
        <v>16</v>
      </c>
    </row>
    <row r="9" spans="1:17" x14ac:dyDescent="0.25">
      <c r="A9" s="14"/>
      <c r="B9" s="14"/>
      <c r="C9" s="14"/>
      <c r="D9" s="14"/>
      <c r="E9" s="14"/>
      <c r="F9" s="14"/>
      <c r="H9" s="9">
        <v>1</v>
      </c>
      <c r="I9" s="9">
        <v>0</v>
      </c>
      <c r="J9" s="9">
        <v>2.2000000000000002</v>
      </c>
      <c r="K9" s="9">
        <v>0</v>
      </c>
      <c r="L9" s="9">
        <v>0</v>
      </c>
      <c r="M9" s="9">
        <f>L9+J9</f>
        <v>2.2000000000000002</v>
      </c>
      <c r="N9" s="9">
        <v>0</v>
      </c>
      <c r="O9" s="9">
        <v>0</v>
      </c>
      <c r="P9" s="9">
        <v>0</v>
      </c>
      <c r="Q9" s="9">
        <v>1</v>
      </c>
    </row>
    <row r="10" spans="1:17" x14ac:dyDescent="0.25">
      <c r="A10" s="14"/>
      <c r="B10" s="14"/>
      <c r="C10" s="14"/>
      <c r="D10" s="14"/>
      <c r="E10" s="14"/>
      <c r="F10" s="14"/>
      <c r="H10" s="8">
        <v>2</v>
      </c>
      <c r="I10" s="8">
        <v>1.4</v>
      </c>
      <c r="J10" s="8">
        <v>1.2</v>
      </c>
      <c r="K10" s="8">
        <f>I9+I10</f>
        <v>1.4</v>
      </c>
      <c r="L10" s="8">
        <f>M9</f>
        <v>2.2000000000000002</v>
      </c>
      <c r="M10" s="8">
        <f>L10+J10</f>
        <v>3.4000000000000004</v>
      </c>
      <c r="N10" s="8">
        <f>M9-K10</f>
        <v>0.80000000000000027</v>
      </c>
      <c r="O10" s="8">
        <v>0</v>
      </c>
      <c r="P10" s="8">
        <v>0</v>
      </c>
      <c r="Q10" s="8">
        <v>0</v>
      </c>
    </row>
    <row r="11" spans="1:17" x14ac:dyDescent="0.25">
      <c r="A11" s="14"/>
      <c r="B11" s="14"/>
      <c r="C11" s="14"/>
      <c r="D11" s="14"/>
      <c r="E11" s="14"/>
      <c r="F11" s="14"/>
      <c r="H11" s="8">
        <v>3</v>
      </c>
      <c r="I11" s="8">
        <v>2.1</v>
      </c>
      <c r="J11" s="8">
        <v>0.3</v>
      </c>
      <c r="K11" s="8">
        <f>K10+I11</f>
        <v>3.5</v>
      </c>
      <c r="L11" s="8">
        <f>K11</f>
        <v>3.5</v>
      </c>
      <c r="M11" s="8">
        <f t="shared" ref="M11:M14" si="0">L11+J11</f>
        <v>3.8</v>
      </c>
      <c r="N11" s="8">
        <v>0</v>
      </c>
      <c r="O11" s="8">
        <f>K11-M10</f>
        <v>9.9999999999999645E-2</v>
      </c>
      <c r="P11" s="8">
        <v>0</v>
      </c>
      <c r="Q11" s="8">
        <v>0</v>
      </c>
    </row>
    <row r="12" spans="1:17" x14ac:dyDescent="0.25">
      <c r="H12" s="8">
        <v>4</v>
      </c>
      <c r="I12" s="8">
        <v>1.9</v>
      </c>
      <c r="J12" s="8">
        <v>2.8</v>
      </c>
      <c r="K12" s="8">
        <f>K11+I12</f>
        <v>5.4</v>
      </c>
      <c r="L12" s="8">
        <f>K12</f>
        <v>5.4</v>
      </c>
      <c r="M12" s="8">
        <f t="shared" si="0"/>
        <v>8.1999999999999993</v>
      </c>
      <c r="N12" s="8">
        <v>0</v>
      </c>
      <c r="O12" s="8">
        <f>K12-M11</f>
        <v>1.6000000000000005</v>
      </c>
      <c r="P12" s="8">
        <v>0</v>
      </c>
      <c r="Q12" s="8">
        <v>2</v>
      </c>
    </row>
    <row r="13" spans="1:17" x14ac:dyDescent="0.25">
      <c r="B13" s="14" t="s">
        <v>3</v>
      </c>
      <c r="C13" s="14"/>
      <c r="D13" s="14"/>
      <c r="E13" s="1" t="s">
        <v>14</v>
      </c>
      <c r="H13" s="8">
        <v>5</v>
      </c>
      <c r="I13" s="8">
        <v>0.2</v>
      </c>
      <c r="J13" s="8">
        <v>0.2</v>
      </c>
      <c r="K13" s="8">
        <f>K12+I13</f>
        <v>5.6000000000000005</v>
      </c>
      <c r="L13" s="8">
        <f t="shared" ref="L13:L14" si="1">M12</f>
        <v>8.1999999999999993</v>
      </c>
      <c r="M13" s="8">
        <f t="shared" si="0"/>
        <v>8.3999999999999986</v>
      </c>
      <c r="N13" s="8">
        <f t="shared" ref="N13" si="2">M12-K13</f>
        <v>2.5999999999999988</v>
      </c>
      <c r="O13" s="8">
        <v>0</v>
      </c>
      <c r="P13" s="8">
        <v>2</v>
      </c>
      <c r="Q13" s="8">
        <v>1</v>
      </c>
    </row>
    <row r="14" spans="1:17" x14ac:dyDescent="0.25">
      <c r="H14" s="8">
        <v>6</v>
      </c>
      <c r="I14" s="8">
        <v>1.5</v>
      </c>
      <c r="J14" s="8">
        <v>1.8</v>
      </c>
      <c r="K14" s="8">
        <f>K13+I14</f>
        <v>7.1000000000000005</v>
      </c>
      <c r="L14" s="8">
        <f t="shared" si="1"/>
        <v>8.3999999999999986</v>
      </c>
      <c r="M14" s="8">
        <f t="shared" si="0"/>
        <v>10.199999999999999</v>
      </c>
      <c r="N14" s="8">
        <f>M13-K14</f>
        <v>1.299999999999998</v>
      </c>
      <c r="O14" s="8">
        <v>0</v>
      </c>
      <c r="P14" s="8">
        <v>1</v>
      </c>
      <c r="Q14" s="8">
        <v>0</v>
      </c>
    </row>
    <row r="15" spans="1:17" x14ac:dyDescent="0.25">
      <c r="A15" s="14" t="s">
        <v>4</v>
      </c>
      <c r="B15" s="14"/>
      <c r="C15" s="14"/>
      <c r="D15" s="14"/>
      <c r="E15" s="14"/>
      <c r="F15" s="14"/>
    </row>
    <row r="16" spans="1:17" x14ac:dyDescent="0.25">
      <c r="A16" s="14"/>
      <c r="B16" s="14"/>
      <c r="C16" s="14"/>
      <c r="D16" s="14"/>
      <c r="E16" s="14"/>
      <c r="F16" s="14"/>
    </row>
    <row r="18" spans="1:19" x14ac:dyDescent="0.25">
      <c r="B18" s="14" t="s">
        <v>5</v>
      </c>
      <c r="C18" s="14"/>
      <c r="D18" s="14"/>
      <c r="E18" s="1" t="s">
        <v>14</v>
      </c>
    </row>
    <row r="19" spans="1:19" ht="15.75" thickBot="1" x14ac:dyDescent="0.3"/>
    <row r="20" spans="1:19" x14ac:dyDescent="0.25">
      <c r="A20" s="14" t="s">
        <v>6</v>
      </c>
      <c r="B20" s="14"/>
      <c r="C20" s="14"/>
      <c r="D20" s="14"/>
      <c r="E20" s="14"/>
      <c r="F20" s="14"/>
      <c r="H20" s="15" t="s">
        <v>18</v>
      </c>
      <c r="I20" s="16"/>
      <c r="J20" s="15" t="s">
        <v>19</v>
      </c>
      <c r="K20" s="16"/>
      <c r="L20" s="15" t="s">
        <v>20</v>
      </c>
      <c r="M20" s="16"/>
      <c r="N20" s="15" t="s">
        <v>21</v>
      </c>
      <c r="O20" s="16"/>
      <c r="P20" s="15" t="s">
        <v>22</v>
      </c>
      <c r="Q20" s="16"/>
      <c r="R20" s="15" t="s">
        <v>23</v>
      </c>
      <c r="S20" s="16"/>
    </row>
    <row r="21" spans="1:19" ht="15.75" thickBot="1" x14ac:dyDescent="0.3">
      <c r="A21" s="14"/>
      <c r="B21" s="14"/>
      <c r="C21" s="14"/>
      <c r="D21" s="14"/>
      <c r="E21" s="14"/>
      <c r="F21" s="14"/>
      <c r="H21" s="12">
        <f>MIN(P9:Q14)</f>
        <v>0</v>
      </c>
      <c r="I21" s="13"/>
      <c r="J21" s="12">
        <f>MAX(P9:Q14)</f>
        <v>2</v>
      </c>
      <c r="K21" s="13"/>
      <c r="L21" s="12">
        <f>SUM(N9:N14)</f>
        <v>4.6999999999999975</v>
      </c>
      <c r="M21" s="13"/>
      <c r="N21" s="19">
        <f>AVERAGE(N9:N14)</f>
        <v>0.78333333333333288</v>
      </c>
      <c r="O21" s="20"/>
      <c r="P21" s="12">
        <f>SUM(O9:O14)</f>
        <v>1.7000000000000002</v>
      </c>
      <c r="Q21" s="13"/>
      <c r="R21" s="17">
        <f>SUM(J9:J14)/M14</f>
        <v>0.83333333333333337</v>
      </c>
      <c r="S21" s="18"/>
    </row>
    <row r="22" spans="1:19" x14ac:dyDescent="0.25">
      <c r="A22" s="14"/>
      <c r="B22" s="14"/>
      <c r="C22" s="14"/>
      <c r="D22" s="14"/>
      <c r="E22" s="14"/>
      <c r="F22" s="14"/>
    </row>
    <row r="23" spans="1:19" x14ac:dyDescent="0.25">
      <c r="A23" s="14"/>
      <c r="B23" s="14"/>
      <c r="C23" s="14"/>
      <c r="D23" s="14"/>
      <c r="E23" s="14"/>
      <c r="F23" s="14"/>
    </row>
    <row r="24" spans="1:19" x14ac:dyDescent="0.25">
      <c r="A24" s="14"/>
      <c r="B24" s="14"/>
      <c r="C24" s="14"/>
      <c r="D24" s="14"/>
      <c r="E24" s="14"/>
      <c r="F24" s="14"/>
    </row>
    <row r="25" spans="1:19" s="10" customFormat="1" x14ac:dyDescent="0.25"/>
    <row r="26" spans="1:19" ht="15.75" customHeight="1" thickBot="1" x14ac:dyDescent="0.3">
      <c r="A26" s="14" t="s">
        <v>31</v>
      </c>
      <c r="B26" s="14"/>
      <c r="C26" s="14"/>
      <c r="D26" s="14"/>
      <c r="E26" s="14"/>
      <c r="F26" s="14"/>
    </row>
    <row r="27" spans="1:19" ht="45.75" thickBot="1" x14ac:dyDescent="0.3">
      <c r="A27" s="14"/>
      <c r="B27" s="14"/>
      <c r="C27" s="14"/>
      <c r="D27" s="14"/>
      <c r="E27" s="14"/>
      <c r="F27" s="14"/>
      <c r="H27" s="3" t="s">
        <v>30</v>
      </c>
      <c r="I27" s="4" t="s">
        <v>8</v>
      </c>
      <c r="J27" s="4" t="s">
        <v>26</v>
      </c>
      <c r="K27" s="4" t="s">
        <v>27</v>
      </c>
      <c r="L27" s="4" t="s">
        <v>28</v>
      </c>
      <c r="M27" s="4" t="s">
        <v>29</v>
      </c>
      <c r="N27" s="5" t="s">
        <v>13</v>
      </c>
    </row>
    <row r="28" spans="1:19" x14ac:dyDescent="0.25">
      <c r="A28" s="2"/>
      <c r="B28" s="2"/>
      <c r="C28" s="2"/>
      <c r="D28" s="2"/>
      <c r="E28" s="2"/>
      <c r="F28" s="2"/>
      <c r="H28" s="9">
        <v>1</v>
      </c>
      <c r="I28" s="9">
        <v>0</v>
      </c>
      <c r="J28" s="9">
        <v>2.5</v>
      </c>
      <c r="K28" s="9">
        <v>0</v>
      </c>
      <c r="L28" s="9">
        <v>0</v>
      </c>
      <c r="M28" s="9">
        <v>2.5</v>
      </c>
      <c r="N28" s="9">
        <f>L28-K28</f>
        <v>0</v>
      </c>
    </row>
    <row r="29" spans="1:19" x14ac:dyDescent="0.25">
      <c r="A29" s="2"/>
      <c r="B29" s="2"/>
      <c r="C29" s="2"/>
      <c r="D29" s="2"/>
      <c r="E29" s="2"/>
      <c r="F29" s="2"/>
      <c r="H29" s="8">
        <v>2</v>
      </c>
      <c r="I29" s="8">
        <v>1</v>
      </c>
      <c r="J29" s="8" t="s">
        <v>33</v>
      </c>
      <c r="K29" s="8">
        <v>1</v>
      </c>
      <c r="L29" s="8" t="s">
        <v>33</v>
      </c>
      <c r="M29" s="8" t="s">
        <v>33</v>
      </c>
      <c r="N29" s="8" t="s">
        <v>33</v>
      </c>
    </row>
    <row r="30" spans="1:19" x14ac:dyDescent="0.25">
      <c r="A30" s="2"/>
      <c r="B30" s="2"/>
      <c r="C30" s="2"/>
      <c r="D30" s="2"/>
      <c r="E30" s="2"/>
      <c r="F30" s="2"/>
      <c r="H30" s="8">
        <v>3</v>
      </c>
      <c r="I30" s="8">
        <v>1</v>
      </c>
      <c r="J30" s="8">
        <v>2</v>
      </c>
      <c r="K30" s="8">
        <v>2</v>
      </c>
      <c r="L30" s="8">
        <v>2.5</v>
      </c>
      <c r="M30" s="8">
        <v>4.5</v>
      </c>
      <c r="N30" s="8">
        <f t="shared" ref="N30:N46" si="3">L30-K30</f>
        <v>0.5</v>
      </c>
    </row>
    <row r="31" spans="1:19" x14ac:dyDescent="0.25">
      <c r="H31" s="8">
        <v>4</v>
      </c>
      <c r="I31" s="8">
        <v>1</v>
      </c>
      <c r="J31" s="8" t="s">
        <v>33</v>
      </c>
      <c r="K31" s="8">
        <v>3</v>
      </c>
      <c r="L31" s="8" t="s">
        <v>33</v>
      </c>
      <c r="M31" s="8" t="s">
        <v>33</v>
      </c>
      <c r="N31" s="8" t="s">
        <v>33</v>
      </c>
    </row>
    <row r="32" spans="1:19" x14ac:dyDescent="0.25">
      <c r="B32" s="14" t="s">
        <v>24</v>
      </c>
      <c r="C32" s="14"/>
      <c r="D32" s="14"/>
      <c r="E32" s="14"/>
      <c r="F32" s="14"/>
      <c r="H32" s="8">
        <v>5</v>
      </c>
      <c r="I32" s="8">
        <v>1</v>
      </c>
      <c r="J32" s="8">
        <v>3</v>
      </c>
      <c r="K32" s="8">
        <v>4</v>
      </c>
      <c r="L32" s="8">
        <v>4.5</v>
      </c>
      <c r="M32" s="8">
        <v>7.5</v>
      </c>
      <c r="N32" s="8">
        <f t="shared" si="3"/>
        <v>0.5</v>
      </c>
    </row>
    <row r="33" spans="2:14" x14ac:dyDescent="0.25">
      <c r="B33" s="14"/>
      <c r="C33" s="14"/>
      <c r="D33" s="14"/>
      <c r="E33" s="14"/>
      <c r="F33" s="14"/>
      <c r="H33" s="8">
        <v>6</v>
      </c>
      <c r="I33" s="8">
        <v>1</v>
      </c>
      <c r="J33" s="8">
        <v>1.5</v>
      </c>
      <c r="K33" s="8">
        <v>5</v>
      </c>
      <c r="L33" s="8">
        <v>7.5</v>
      </c>
      <c r="M33" s="8">
        <v>9</v>
      </c>
      <c r="N33" s="8">
        <f t="shared" si="3"/>
        <v>2.5</v>
      </c>
    </row>
    <row r="34" spans="2:14" x14ac:dyDescent="0.25">
      <c r="H34" s="8">
        <v>7</v>
      </c>
      <c r="I34" s="8">
        <v>1</v>
      </c>
      <c r="J34" s="8" t="s">
        <v>33</v>
      </c>
      <c r="K34" s="8">
        <v>6</v>
      </c>
      <c r="L34" s="8" t="s">
        <v>33</v>
      </c>
      <c r="M34" s="8" t="s">
        <v>33</v>
      </c>
      <c r="N34" s="8" t="s">
        <v>33</v>
      </c>
    </row>
    <row r="35" spans="2:14" ht="15" customHeight="1" x14ac:dyDescent="0.25">
      <c r="B35" s="14" t="s">
        <v>25</v>
      </c>
      <c r="C35" s="14"/>
      <c r="D35" s="14"/>
      <c r="E35" s="14"/>
      <c r="F35" s="14"/>
      <c r="H35" s="8">
        <v>8</v>
      </c>
      <c r="I35" s="8">
        <v>1</v>
      </c>
      <c r="J35" s="8">
        <v>2</v>
      </c>
      <c r="K35" s="8">
        <v>7</v>
      </c>
      <c r="L35" s="8">
        <v>9</v>
      </c>
      <c r="M35" s="8">
        <v>11</v>
      </c>
      <c r="N35" s="8">
        <f t="shared" si="3"/>
        <v>2</v>
      </c>
    </row>
    <row r="36" spans="2:14" x14ac:dyDescent="0.25">
      <c r="B36" s="14"/>
      <c r="C36" s="14"/>
      <c r="D36" s="14"/>
      <c r="E36" s="14"/>
      <c r="F36" s="14"/>
      <c r="H36" s="8">
        <v>9</v>
      </c>
      <c r="I36" s="8">
        <v>1</v>
      </c>
      <c r="J36" s="8">
        <v>1</v>
      </c>
      <c r="K36" s="8">
        <v>8</v>
      </c>
      <c r="L36" s="8">
        <v>11</v>
      </c>
      <c r="M36" s="8">
        <v>12</v>
      </c>
      <c r="N36" s="8">
        <f t="shared" si="3"/>
        <v>3</v>
      </c>
    </row>
    <row r="37" spans="2:14" x14ac:dyDescent="0.25">
      <c r="B37" s="14"/>
      <c r="C37" s="14"/>
      <c r="D37" s="14"/>
      <c r="E37" s="14"/>
      <c r="F37" s="14"/>
      <c r="H37" s="8">
        <v>10</v>
      </c>
      <c r="I37" s="8">
        <v>1</v>
      </c>
      <c r="J37" s="8" t="s">
        <v>33</v>
      </c>
      <c r="K37" s="8">
        <v>9</v>
      </c>
      <c r="L37" s="8" t="s">
        <v>33</v>
      </c>
      <c r="M37" s="8" t="s">
        <v>33</v>
      </c>
      <c r="N37" s="8" t="s">
        <v>33</v>
      </c>
    </row>
    <row r="38" spans="2:14" x14ac:dyDescent="0.25">
      <c r="B38" s="14"/>
      <c r="C38" s="14"/>
      <c r="D38" s="14"/>
      <c r="E38" s="14"/>
      <c r="F38" s="14"/>
      <c r="H38" s="8">
        <v>11</v>
      </c>
      <c r="I38" s="8">
        <v>1</v>
      </c>
      <c r="J38" s="8" t="s">
        <v>33</v>
      </c>
      <c r="K38" s="8">
        <v>10</v>
      </c>
      <c r="L38" s="8" t="s">
        <v>33</v>
      </c>
      <c r="M38" s="8" t="s">
        <v>33</v>
      </c>
      <c r="N38" s="8" t="s">
        <v>33</v>
      </c>
    </row>
    <row r="39" spans="2:14" x14ac:dyDescent="0.25">
      <c r="H39" s="8">
        <v>12</v>
      </c>
      <c r="I39" s="8">
        <v>1</v>
      </c>
      <c r="J39" s="8" t="s">
        <v>33</v>
      </c>
      <c r="K39" s="8">
        <v>11</v>
      </c>
      <c r="L39" s="8" t="s">
        <v>33</v>
      </c>
      <c r="M39" s="8" t="s">
        <v>33</v>
      </c>
      <c r="N39" s="8" t="s">
        <v>33</v>
      </c>
    </row>
    <row r="40" spans="2:14" ht="15.75" thickBot="1" x14ac:dyDescent="0.3">
      <c r="H40" s="8">
        <v>13</v>
      </c>
      <c r="I40" s="8">
        <v>1</v>
      </c>
      <c r="J40" s="8">
        <v>2</v>
      </c>
      <c r="K40" s="8">
        <v>12</v>
      </c>
      <c r="L40" s="8">
        <v>12</v>
      </c>
      <c r="M40" s="8">
        <v>14</v>
      </c>
      <c r="N40" s="8">
        <f t="shared" si="3"/>
        <v>0</v>
      </c>
    </row>
    <row r="41" spans="2:14" x14ac:dyDescent="0.25">
      <c r="B41" s="15" t="s">
        <v>21</v>
      </c>
      <c r="C41" s="16"/>
      <c r="E41" s="11" t="s">
        <v>23</v>
      </c>
      <c r="F41" s="11"/>
      <c r="H41" s="8">
        <v>14</v>
      </c>
      <c r="I41" s="8">
        <v>1</v>
      </c>
      <c r="J41" s="8" t="s">
        <v>33</v>
      </c>
      <c r="K41" s="8">
        <v>13</v>
      </c>
      <c r="L41" s="8" t="s">
        <v>33</v>
      </c>
      <c r="M41" s="8" t="s">
        <v>33</v>
      </c>
      <c r="N41" s="8" t="s">
        <v>33</v>
      </c>
    </row>
    <row r="42" spans="2:14" ht="15.75" thickBot="1" x14ac:dyDescent="0.3">
      <c r="B42" s="12">
        <f>SUM(N28:N47)/COUNT(N28:N47)</f>
        <v>0.9</v>
      </c>
      <c r="C42" s="13"/>
      <c r="D42" s="1" t="s">
        <v>34</v>
      </c>
      <c r="E42" s="22">
        <f>SUM(J28:J47)/H47</f>
        <v>0.95</v>
      </c>
      <c r="F42" s="22"/>
      <c r="H42" s="8">
        <v>15</v>
      </c>
      <c r="I42" s="8">
        <v>1</v>
      </c>
      <c r="J42" s="8" t="s">
        <v>33</v>
      </c>
      <c r="K42" s="8">
        <v>14</v>
      </c>
      <c r="L42" s="8" t="s">
        <v>33</v>
      </c>
      <c r="M42" s="8" t="s">
        <v>33</v>
      </c>
      <c r="N42" s="8" t="s">
        <v>33</v>
      </c>
    </row>
    <row r="43" spans="2:14" x14ac:dyDescent="0.25">
      <c r="E43" s="21"/>
      <c r="F43" s="21"/>
      <c r="H43" s="8">
        <v>16</v>
      </c>
      <c r="I43" s="8">
        <v>1</v>
      </c>
      <c r="J43" s="8">
        <v>0.5</v>
      </c>
      <c r="K43" s="8">
        <v>15</v>
      </c>
      <c r="L43" s="8">
        <v>15</v>
      </c>
      <c r="M43" s="8">
        <v>15.5</v>
      </c>
      <c r="N43" s="8">
        <f t="shared" si="3"/>
        <v>0</v>
      </c>
    </row>
    <row r="44" spans="2:14" x14ac:dyDescent="0.25">
      <c r="E44" s="11"/>
      <c r="F44" s="11"/>
      <c r="H44" s="8">
        <v>17</v>
      </c>
      <c r="I44" s="8">
        <v>1</v>
      </c>
      <c r="J44" s="8" t="s">
        <v>33</v>
      </c>
      <c r="K44" s="8">
        <v>16</v>
      </c>
      <c r="L44" s="8" t="s">
        <v>33</v>
      </c>
      <c r="M44" s="8" t="s">
        <v>33</v>
      </c>
      <c r="N44" s="8" t="s">
        <v>33</v>
      </c>
    </row>
    <row r="45" spans="2:14" x14ac:dyDescent="0.25">
      <c r="H45" s="8">
        <v>18</v>
      </c>
      <c r="I45" s="8">
        <v>1</v>
      </c>
      <c r="J45" s="8">
        <v>1.5</v>
      </c>
      <c r="K45" s="8">
        <v>17</v>
      </c>
      <c r="L45" s="8">
        <v>17</v>
      </c>
      <c r="M45" s="8">
        <v>18.5</v>
      </c>
      <c r="N45" s="8">
        <f t="shared" si="3"/>
        <v>0</v>
      </c>
    </row>
    <row r="46" spans="2:14" x14ac:dyDescent="0.25">
      <c r="H46" s="8">
        <v>19</v>
      </c>
      <c r="I46" s="8">
        <v>1</v>
      </c>
      <c r="J46" s="8">
        <v>3</v>
      </c>
      <c r="K46" s="8">
        <v>18</v>
      </c>
      <c r="L46" s="8">
        <v>18.5</v>
      </c>
      <c r="M46" s="8">
        <v>21.5</v>
      </c>
      <c r="N46" s="8">
        <f t="shared" si="3"/>
        <v>0.5</v>
      </c>
    </row>
    <row r="47" spans="2:14" x14ac:dyDescent="0.25">
      <c r="H47" s="8">
        <v>20</v>
      </c>
      <c r="I47" s="8">
        <v>1</v>
      </c>
      <c r="J47" s="8" t="s">
        <v>33</v>
      </c>
      <c r="K47" s="8">
        <v>19</v>
      </c>
      <c r="L47" s="8" t="s">
        <v>33</v>
      </c>
      <c r="M47" s="8" t="s">
        <v>33</v>
      </c>
      <c r="N47" s="8" t="s">
        <v>33</v>
      </c>
    </row>
    <row r="49" spans="1:6" s="10" customFormat="1" x14ac:dyDescent="0.25"/>
    <row r="51" spans="1:6" x14ac:dyDescent="0.25">
      <c r="A51" s="14" t="s">
        <v>35</v>
      </c>
      <c r="B51" s="14"/>
      <c r="C51" s="14"/>
      <c r="D51" s="14"/>
      <c r="E51" s="14"/>
      <c r="F51" s="14"/>
    </row>
    <row r="52" spans="1:6" x14ac:dyDescent="0.25">
      <c r="A52" s="14"/>
      <c r="B52" s="14"/>
      <c r="C52" s="14"/>
      <c r="D52" s="14"/>
      <c r="E52" s="14"/>
      <c r="F52" s="14"/>
    </row>
    <row r="53" spans="1:6" x14ac:dyDescent="0.25">
      <c r="A53" s="14"/>
      <c r="B53" s="14"/>
      <c r="C53" s="14"/>
      <c r="D53" s="14"/>
      <c r="E53" s="14"/>
      <c r="F53" s="14"/>
    </row>
    <row r="54" spans="1:6" x14ac:dyDescent="0.25">
      <c r="A54" s="14"/>
      <c r="B54" s="14"/>
      <c r="C54" s="14"/>
      <c r="D54" s="14"/>
      <c r="E54" s="14"/>
      <c r="F54" s="14"/>
    </row>
    <row r="55" spans="1:6" x14ac:dyDescent="0.25">
      <c r="A55" s="14"/>
      <c r="B55" s="14"/>
      <c r="C55" s="14"/>
      <c r="D55" s="14"/>
      <c r="E55" s="14"/>
      <c r="F55" s="14"/>
    </row>
    <row r="57" spans="1:6" x14ac:dyDescent="0.25">
      <c r="B57" s="11" t="s">
        <v>36</v>
      </c>
      <c r="C57" s="11"/>
    </row>
  </sheetData>
  <mergeCells count="29">
    <mergeCell ref="B18:D18"/>
    <mergeCell ref="A20:F24"/>
    <mergeCell ref="H20:I20"/>
    <mergeCell ref="H21:I21"/>
    <mergeCell ref="A1:F5"/>
    <mergeCell ref="A8:F11"/>
    <mergeCell ref="B13:D13"/>
    <mergeCell ref="A15:F16"/>
    <mergeCell ref="R20:S20"/>
    <mergeCell ref="R21:S21"/>
    <mergeCell ref="J20:K20"/>
    <mergeCell ref="J21:K21"/>
    <mergeCell ref="L20:M20"/>
    <mergeCell ref="L21:M21"/>
    <mergeCell ref="N20:O20"/>
    <mergeCell ref="N21:O21"/>
    <mergeCell ref="B32:F33"/>
    <mergeCell ref="A26:F27"/>
    <mergeCell ref="B35:F38"/>
    <mergeCell ref="B41:C41"/>
    <mergeCell ref="P20:Q20"/>
    <mergeCell ref="P21:Q21"/>
    <mergeCell ref="B57:C57"/>
    <mergeCell ref="B42:C42"/>
    <mergeCell ref="E41:F41"/>
    <mergeCell ref="E42:F42"/>
    <mergeCell ref="E43:F43"/>
    <mergeCell ref="E44:F44"/>
    <mergeCell ref="A51:F55"/>
  </mergeCells>
  <pageMargins left="0.7" right="0.7" top="0.75" bottom="0.75" header="0.3" footer="0.3"/>
  <ignoredErrors>
    <ignoredError sqref="L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Dietzius</dc:creator>
  <cp:lastModifiedBy>Ryan Dietzius</cp:lastModifiedBy>
  <dcterms:created xsi:type="dcterms:W3CDTF">2026-01-10T16:00:05Z</dcterms:created>
  <dcterms:modified xsi:type="dcterms:W3CDTF">2026-01-13T15:44:29Z</dcterms:modified>
</cp:coreProperties>
</file>