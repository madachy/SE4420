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day\Documents\"/>
    </mc:Choice>
  </mc:AlternateContent>
  <xr:revisionPtr revIDLastSave="0" documentId="13_ncr:1_{35A370E2-8410-4D12-A513-3EBC1320A254}" xr6:coauthVersionLast="47" xr6:coauthVersionMax="47" xr10:uidLastSave="{00000000-0000-0000-0000-000000000000}"/>
  <bookViews>
    <workbookView xWindow="-120" yWindow="-120" windowWidth="29040" windowHeight="15720" xr2:uid="{8E14FB1E-2A5B-4C95-BFB3-2CF0F0C7930D}"/>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5" i="1" l="1"/>
  <c r="M75" i="1" s="1"/>
  <c r="J74" i="1"/>
  <c r="K74" i="1" s="1"/>
  <c r="J72" i="1"/>
  <c r="K72" i="1" s="1"/>
  <c r="J69" i="1"/>
  <c r="K69" i="1" s="1"/>
  <c r="L65" i="1"/>
  <c r="M65" i="1" s="1"/>
  <c r="L62" i="1"/>
  <c r="M62" i="1" s="1"/>
  <c r="J64" i="1"/>
  <c r="K64" i="1" s="1"/>
  <c r="J61" i="1"/>
  <c r="K61" i="1" s="1"/>
  <c r="L59" i="1"/>
  <c r="M59" i="1" s="1"/>
  <c r="J57" i="1"/>
  <c r="K57" i="1" s="1"/>
  <c r="D81" i="1"/>
  <c r="F81" i="1" s="1"/>
  <c r="I75" i="1"/>
  <c r="I74" i="1"/>
  <c r="I72" i="1"/>
  <c r="I69" i="1"/>
  <c r="I65" i="1"/>
  <c r="I64" i="1"/>
  <c r="I62" i="1"/>
  <c r="I61" i="1"/>
  <c r="I59" i="1"/>
  <c r="I57" i="1"/>
  <c r="K30" i="1"/>
  <c r="K31" i="1"/>
  <c r="K32" i="1"/>
  <c r="K33" i="1"/>
  <c r="K29" i="1"/>
  <c r="H29" i="1"/>
  <c r="J30" i="1" s="1"/>
  <c r="H30" i="1"/>
  <c r="J31" i="1" s="1"/>
  <c r="H31" i="1"/>
  <c r="J32" i="1" s="1"/>
  <c r="H32" i="1"/>
  <c r="J33" i="1" s="1"/>
  <c r="H33" i="1"/>
  <c r="H28" i="1"/>
  <c r="F29" i="1"/>
  <c r="I29" i="1" s="1"/>
  <c r="D12" i="1"/>
  <c r="G43" i="1" l="1"/>
  <c r="H45" i="1" s="1"/>
  <c r="J78" i="1"/>
  <c r="F30" i="1"/>
  <c r="F31" i="1" l="1"/>
  <c r="I30" i="1"/>
  <c r="F32" i="1" l="1"/>
  <c r="I31" i="1"/>
  <c r="F33" i="1" l="1"/>
  <c r="I33" i="1" s="1"/>
  <c r="I32" i="1"/>
  <c r="G39" i="1" s="1"/>
  <c r="H41" i="1" s="1"/>
</calcChain>
</file>

<file path=xl/sharedStrings.xml><?xml version="1.0" encoding="utf-8"?>
<sst xmlns="http://schemas.openxmlformats.org/spreadsheetml/2006/main" count="65" uniqueCount="58">
  <si>
    <t>SE4420 Modeling and Simulation in Acquisition</t>
  </si>
  <si>
    <t>Homework 1</t>
  </si>
  <si>
    <t>Winter 2026</t>
  </si>
  <si>
    <t>S. Anthony Day</t>
  </si>
  <si>
    <t>1. (1 point) The length of a queue during a 30 minute period is 3 for the first 5 minutes, 4 for the next 10 minutes, 2 for the next 6 minutes, and 3 for the last 9 minutes. What is the average queue length during this time?</t>
  </si>
  <si>
    <t>2. (4 points) Compute this problem manually without the aid of a simulation tool. A Navy helicopter mechanic starts his shift and services incoming helicopters at the following inter-arrival times in hours:</t>
  </si>
  <si>
    <t>[0, 1.4, 2.1, 1.9, 0.2, 1.5]</t>
  </si>
  <si>
    <t>Thus the first pilot arrives at the very beginning of his shift. The respective helicopter service times in hours are:</t>
  </si>
  <si>
    <t>[2.2, 1.2, .3, 2.8, .2, 1.8]</t>
  </si>
  <si>
    <t>Calculate the minimum and maximum queue length for this period, the total queue time (total time spent in queue for all pilots), the average waiting time in queue, the total idle time for the mechanic, and the resource utilization for the mechanic. Show all your work.</t>
  </si>
  <si>
    <t>3. (5 points) Below is another depiction of the class example for the Navy cargo ship maintenance facility scenario. This is for the single facility configuration and all time units are in days.</t>
  </si>
  <si>
    <t>1) What is the average waiting time for the ships that need service?</t>
  </si>
  <si>
    <t>2) Calculate the 20-day resource utilization of the single facility using fractional days. The facility is open and staffed 24 hours each day available for service.</t>
  </si>
  <si>
    <t>4. (1 point) In Problem 3, how might the resource utilization change for the first facility when a second facility is added? In this case ships will be serviced by the second facility when the first is busy. Assume the same inputs for ship arrivals and service durations.</t>
  </si>
  <si>
    <t>A. it will be the same</t>
  </si>
  <si>
    <t>B. it will increase</t>
  </si>
  <si>
    <t>C. it will decrease</t>
  </si>
  <si>
    <t>D. it cannot be determined</t>
  </si>
  <si>
    <t>Ship</t>
  </si>
  <si>
    <t>Interarrival Time</t>
  </si>
  <si>
    <t>Service Time</t>
  </si>
  <si>
    <t>Arrival Time</t>
  </si>
  <si>
    <t>Service Start</t>
  </si>
  <si>
    <t>Service End</t>
  </si>
  <si>
    <t>L = [(3*5) + (4*10) + (2*6) + (3*9)] / 30</t>
  </si>
  <si>
    <t>L =</t>
  </si>
  <si>
    <t>people</t>
  </si>
  <si>
    <t>Helicopter #</t>
  </si>
  <si>
    <t>Inter-arrival Time</t>
  </si>
  <si>
    <t>Clock Time</t>
  </si>
  <si>
    <t>Wait Time</t>
  </si>
  <si>
    <t>Mechanic Idle Time</t>
  </si>
  <si>
    <t>Queue Length Start</t>
  </si>
  <si>
    <t>Queue Length End</t>
  </si>
  <si>
    <t>Minimum Queue Length =</t>
  </si>
  <si>
    <t>Maximum Queue Length =</t>
  </si>
  <si>
    <t>Total Queue Time =</t>
  </si>
  <si>
    <t>Average Queue Waiting Time =</t>
  </si>
  <si>
    <t>Total Mechanic Idle Time =</t>
  </si>
  <si>
    <t>Mechanic Resource Utilization =</t>
  </si>
  <si>
    <t>0.1 + 1.6 =</t>
  </si>
  <si>
    <t>0.8 + 2.6 + 1.3 =</t>
  </si>
  <si>
    <t>(10.2 - 1.7) / 10.2 =</t>
  </si>
  <si>
    <t>hours</t>
  </si>
  <si>
    <t>helicopters</t>
  </si>
  <si>
    <t>Average Waiting Time for Service =</t>
  </si>
  <si>
    <t>(0 + 0.5 + 0.5 + 2.5 + 2.0 + 3.0 + 0 + 0 + 0 + 0.5) / 10 =</t>
  </si>
  <si>
    <t>days</t>
  </si>
  <si>
    <t>Utilization =</t>
  </si>
  <si>
    <t>(2.5-0) + (4.5-2.5) + (7.5-4.5) + (9.0-7.5) + (11.0-9.0) + (12.0-11.0)  + (14.0-12.0) + (15.5-15.0)  + (18.5-17.0) + (20.0-18.5) / 20.0</t>
  </si>
  <si>
    <t>/ 20 =</t>
  </si>
  <si>
    <t>Facility 1 Start</t>
  </si>
  <si>
    <t>Facility 2 Start</t>
  </si>
  <si>
    <t>Facility 1 End</t>
  </si>
  <si>
    <t>Facility 2 End</t>
  </si>
  <si>
    <t>4.7 hours / 6 =</t>
  </si>
  <si>
    <t>=</t>
  </si>
  <si>
    <t>Assuming the second facility will complete the full ship service each time the first facility is not available, then wait times will be eliminated but resource utilization for the first facility will decrease. "C. it will decrease"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</si>
</sst>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79">
    <xf numFmtId="0" fontId="0" fillId="0" borderId="0" xfId="0"/>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0" fillId="0" borderId="5" xfId="0" applyBorder="1" applyAlignment="1">
      <alignment vertical="center"/>
    </xf>
    <xf numFmtId="0" fontId="0" fillId="0" borderId="0" xfId="0" applyBorder="1" applyAlignment="1">
      <alignment vertical="center"/>
    </xf>
    <xf numFmtId="0" fontId="0" fillId="0" borderId="6" xfId="0" applyBorder="1" applyAlignment="1">
      <alignment vertical="center"/>
    </xf>
    <xf numFmtId="0" fontId="2" fillId="2" borderId="10" xfId="0" applyFont="1" applyFill="1" applyBorder="1" applyAlignment="1">
      <alignment vertical="center"/>
    </xf>
    <xf numFmtId="165" fontId="2" fillId="2" borderId="11" xfId="0" applyNumberFormat="1" applyFont="1" applyFill="1" applyBorder="1" applyAlignment="1">
      <alignment vertical="center"/>
    </xf>
    <xf numFmtId="0" fontId="2" fillId="2" borderId="12" xfId="0" applyFont="1" applyFill="1"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17" xfId="0" applyBorder="1" applyAlignment="1">
      <alignment vertical="center"/>
    </xf>
    <xf numFmtId="0" fontId="0" fillId="0" borderId="13"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2" fillId="0" borderId="5" xfId="0" applyFont="1" applyBorder="1" applyAlignment="1">
      <alignment vertical="center"/>
    </xf>
    <xf numFmtId="0" fontId="2" fillId="0" borderId="0" xfId="0" applyFont="1" applyBorder="1" applyAlignment="1">
      <alignment vertical="center"/>
    </xf>
    <xf numFmtId="0" fontId="2" fillId="0" borderId="6" xfId="0" applyFont="1" applyBorder="1" applyAlignment="1">
      <alignment vertical="center"/>
    </xf>
    <xf numFmtId="0" fontId="2" fillId="0" borderId="0"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0" xfId="0" applyFont="1"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0" fillId="0" borderId="16" xfId="0" applyBorder="1" applyAlignment="1">
      <alignment vertical="center" wrapText="1"/>
    </xf>
    <xf numFmtId="0" fontId="0" fillId="0" borderId="0" xfId="0" applyBorder="1" applyAlignment="1">
      <alignment horizontal="left" vertical="center"/>
    </xf>
    <xf numFmtId="0" fontId="0" fillId="0" borderId="0" xfId="0" applyBorder="1" applyAlignment="1">
      <alignment vertical="center" wrapText="1"/>
    </xf>
    <xf numFmtId="167" fontId="0" fillId="0" borderId="0" xfId="0" applyNumberFormat="1" applyBorder="1" applyAlignment="1">
      <alignment vertical="center"/>
    </xf>
    <xf numFmtId="164" fontId="0" fillId="0" borderId="0" xfId="0" applyNumberFormat="1" applyBorder="1" applyAlignment="1">
      <alignment vertical="center"/>
    </xf>
    <xf numFmtId="0" fontId="2" fillId="0" borderId="0"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0" fillId="0" borderId="5" xfId="0" applyBorder="1" applyAlignment="1">
      <alignment horizontal="left" vertical="center"/>
    </xf>
    <xf numFmtId="0" fontId="2" fillId="0" borderId="0" xfId="0"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2" borderId="10" xfId="0" applyFont="1" applyFill="1" applyBorder="1" applyAlignment="1">
      <alignment horizontal="left" vertical="center"/>
    </xf>
    <xf numFmtId="0" fontId="2" fillId="2" borderId="11" xfId="0" applyFont="1" applyFill="1" applyBorder="1" applyAlignment="1">
      <alignment horizontal="left" vertical="center"/>
    </xf>
    <xf numFmtId="0" fontId="2" fillId="2" borderId="11" xfId="0" applyFont="1" applyFill="1" applyBorder="1" applyAlignment="1">
      <alignment vertical="center"/>
    </xf>
    <xf numFmtId="167" fontId="2" fillId="2" borderId="11" xfId="0" applyNumberFormat="1" applyFont="1" applyFill="1" applyBorder="1" applyAlignment="1">
      <alignment vertical="center"/>
    </xf>
    <xf numFmtId="10" fontId="2" fillId="2" borderId="12" xfId="1" applyNumberFormat="1" applyFont="1" applyFill="1" applyBorder="1" applyAlignment="1">
      <alignmen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164" fontId="0" fillId="0" borderId="13" xfId="0" applyNumberFormat="1" applyBorder="1" applyAlignment="1">
      <alignment vertical="center"/>
    </xf>
    <xf numFmtId="164" fontId="0" fillId="0" borderId="18" xfId="0" applyNumberFormat="1" applyBorder="1" applyAlignment="1">
      <alignment vertical="center"/>
    </xf>
    <xf numFmtId="164" fontId="0" fillId="0" borderId="20" xfId="0" applyNumberFormat="1" applyBorder="1" applyAlignment="1">
      <alignment vertical="center"/>
    </xf>
    <xf numFmtId="0" fontId="2" fillId="2" borderId="2" xfId="0" applyFont="1" applyFill="1" applyBorder="1" applyAlignment="1">
      <alignment vertical="center"/>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2" fillId="2" borderId="8" xfId="0" applyFont="1" applyFill="1" applyBorder="1" applyAlignment="1">
      <alignment vertical="center"/>
    </xf>
    <xf numFmtId="0" fontId="2" fillId="2" borderId="9" xfId="0" applyFont="1" applyFill="1" applyBorder="1" applyAlignment="1">
      <alignment vertical="center"/>
    </xf>
    <xf numFmtId="166" fontId="2" fillId="2" borderId="1" xfId="1" applyNumberFormat="1" applyFont="1" applyFill="1" applyBorder="1" applyAlignment="1">
      <alignment vertical="center"/>
    </xf>
    <xf numFmtId="0" fontId="2" fillId="2" borderId="7" xfId="0" quotePrefix="1" applyFont="1" applyFill="1" applyBorder="1" applyAlignment="1">
      <alignment horizontal="right" vertical="center"/>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9" xfId="0" applyFont="1" applyFill="1"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6AEB3-E9A6-4568-9D5F-B0D630052C85}">
  <dimension ref="B1:U94"/>
  <sheetViews>
    <sheetView tabSelected="1" zoomScaleNormal="100" workbookViewId="0"/>
  </sheetViews>
  <sheetFormatPr defaultRowHeight="15" x14ac:dyDescent="0.25"/>
  <cols>
    <col min="1" max="1" width="3" style="11" customWidth="1"/>
    <col min="2" max="21" width="11.42578125" style="11" customWidth="1"/>
    <col min="22" max="16384" width="9.140625" style="11"/>
  </cols>
  <sheetData>
    <row r="1" spans="2:21" ht="15.75" thickBot="1" x14ac:dyDescent="0.3"/>
    <row r="2" spans="2:21" x14ac:dyDescent="0.25">
      <c r="B2" s="1" t="s">
        <v>0</v>
      </c>
      <c r="C2" s="2"/>
      <c r="D2" s="2"/>
      <c r="E2" s="3"/>
    </row>
    <row r="3" spans="2:21" x14ac:dyDescent="0.25">
      <c r="B3" s="4" t="s">
        <v>1</v>
      </c>
      <c r="C3" s="5"/>
      <c r="D3" s="5"/>
      <c r="E3" s="6"/>
    </row>
    <row r="4" spans="2:21" x14ac:dyDescent="0.25">
      <c r="B4" s="4" t="s">
        <v>2</v>
      </c>
      <c r="C4" s="5"/>
      <c r="D4" s="5"/>
      <c r="E4" s="6"/>
    </row>
    <row r="5" spans="2:21" ht="15.75" thickBot="1" x14ac:dyDescent="0.3">
      <c r="B5" s="7" t="s">
        <v>3</v>
      </c>
      <c r="C5" s="8"/>
      <c r="D5" s="8"/>
      <c r="E5" s="9"/>
    </row>
    <row r="6" spans="2:21" ht="15.75" thickBot="1" x14ac:dyDescent="0.3"/>
    <row r="7" spans="2:21" ht="15" customHeight="1" x14ac:dyDescent="0.25">
      <c r="B7" s="43" t="s">
        <v>4</v>
      </c>
      <c r="C7" s="44"/>
      <c r="D7" s="44"/>
      <c r="E7" s="44"/>
      <c r="F7" s="44"/>
      <c r="G7" s="44"/>
      <c r="H7" s="44"/>
      <c r="I7" s="44"/>
      <c r="J7" s="44"/>
      <c r="K7" s="44"/>
      <c r="L7" s="44"/>
      <c r="M7" s="44"/>
      <c r="N7" s="45"/>
      <c r="O7" s="34"/>
      <c r="P7" s="34"/>
      <c r="Q7" s="34"/>
      <c r="R7" s="34"/>
      <c r="S7" s="34"/>
      <c r="T7" s="34"/>
      <c r="U7" s="34"/>
    </row>
    <row r="8" spans="2:21" ht="15.75" thickBot="1" x14ac:dyDescent="0.3">
      <c r="B8" s="46"/>
      <c r="C8" s="47"/>
      <c r="D8" s="47"/>
      <c r="E8" s="47"/>
      <c r="F8" s="47"/>
      <c r="G8" s="47"/>
      <c r="H8" s="47"/>
      <c r="I8" s="47"/>
      <c r="J8" s="47"/>
      <c r="K8" s="47"/>
      <c r="L8" s="47"/>
      <c r="M8" s="47"/>
      <c r="N8" s="48"/>
      <c r="O8" s="34"/>
      <c r="P8" s="34"/>
      <c r="Q8" s="34"/>
      <c r="R8" s="34"/>
      <c r="S8" s="34"/>
      <c r="T8" s="34"/>
      <c r="U8" s="34"/>
    </row>
    <row r="9" spans="2:21" x14ac:dyDescent="0.25">
      <c r="B9" s="10"/>
      <c r="N9" s="12"/>
    </row>
    <row r="10" spans="2:21" x14ac:dyDescent="0.25">
      <c r="B10" s="10"/>
      <c r="C10" s="11" t="s">
        <v>24</v>
      </c>
      <c r="N10" s="12"/>
    </row>
    <row r="11" spans="2:21" ht="15.75" thickBot="1" x14ac:dyDescent="0.3">
      <c r="B11" s="49"/>
      <c r="C11" s="38"/>
      <c r="D11" s="38"/>
      <c r="N11" s="12"/>
    </row>
    <row r="12" spans="2:21" ht="15.75" thickBot="1" x14ac:dyDescent="0.3">
      <c r="B12" s="10"/>
      <c r="C12" s="13" t="s">
        <v>25</v>
      </c>
      <c r="D12" s="14">
        <f>(15+40+12+27)/30</f>
        <v>3.1333333333333333</v>
      </c>
      <c r="E12" s="15" t="s">
        <v>26</v>
      </c>
      <c r="N12" s="12"/>
    </row>
    <row r="13" spans="2:21" ht="15.75" thickBot="1" x14ac:dyDescent="0.3">
      <c r="B13" s="16"/>
      <c r="C13" s="17"/>
      <c r="D13" s="17"/>
      <c r="E13" s="17"/>
      <c r="F13" s="17"/>
      <c r="G13" s="17"/>
      <c r="H13" s="17"/>
      <c r="I13" s="17"/>
      <c r="J13" s="17"/>
      <c r="K13" s="17"/>
      <c r="L13" s="17"/>
      <c r="M13" s="17"/>
      <c r="N13" s="18"/>
    </row>
    <row r="14" spans="2:21" ht="15.75" thickBot="1" x14ac:dyDescent="0.3"/>
    <row r="15" spans="2:21" x14ac:dyDescent="0.25">
      <c r="B15" s="43" t="s">
        <v>5</v>
      </c>
      <c r="C15" s="44"/>
      <c r="D15" s="44"/>
      <c r="E15" s="44"/>
      <c r="F15" s="44"/>
      <c r="G15" s="44"/>
      <c r="H15" s="44"/>
      <c r="I15" s="44"/>
      <c r="J15" s="44"/>
      <c r="K15" s="44"/>
      <c r="L15" s="44"/>
      <c r="M15" s="44"/>
      <c r="N15" s="45"/>
      <c r="O15" s="26"/>
      <c r="P15" s="26"/>
      <c r="Q15" s="26"/>
      <c r="R15" s="26"/>
      <c r="S15" s="26"/>
      <c r="T15" s="26"/>
      <c r="U15" s="26"/>
    </row>
    <row r="16" spans="2:21" x14ac:dyDescent="0.25">
      <c r="B16" s="51"/>
      <c r="C16" s="42"/>
      <c r="D16" s="42"/>
      <c r="E16" s="42"/>
      <c r="F16" s="42"/>
      <c r="G16" s="42"/>
      <c r="H16" s="42"/>
      <c r="I16" s="42"/>
      <c r="J16" s="42"/>
      <c r="K16" s="42"/>
      <c r="L16" s="42"/>
      <c r="M16" s="42"/>
      <c r="N16" s="52"/>
      <c r="O16" s="26"/>
      <c r="P16" s="26"/>
      <c r="Q16" s="26"/>
      <c r="R16" s="26"/>
      <c r="S16" s="26"/>
      <c r="T16" s="26"/>
      <c r="U16" s="26"/>
    </row>
    <row r="17" spans="2:21" x14ac:dyDescent="0.25">
      <c r="B17" s="25"/>
      <c r="C17" s="26"/>
      <c r="D17" s="26"/>
      <c r="E17" s="26"/>
      <c r="F17" s="26"/>
      <c r="G17" s="26"/>
      <c r="H17" s="26"/>
      <c r="I17" s="26"/>
      <c r="J17" s="26"/>
      <c r="K17" s="26"/>
      <c r="L17" s="26"/>
      <c r="M17" s="26"/>
      <c r="N17" s="27"/>
      <c r="O17" s="26"/>
      <c r="P17" s="26"/>
      <c r="Q17" s="26"/>
      <c r="R17" s="26"/>
      <c r="S17" s="26"/>
      <c r="T17" s="26"/>
      <c r="U17" s="26"/>
    </row>
    <row r="18" spans="2:21" x14ac:dyDescent="0.25">
      <c r="B18" s="25"/>
      <c r="C18" s="28" t="s">
        <v>6</v>
      </c>
      <c r="D18" s="28"/>
      <c r="E18" s="26"/>
      <c r="F18" s="26"/>
      <c r="G18" s="26"/>
      <c r="H18" s="26"/>
      <c r="I18" s="26"/>
      <c r="J18" s="26"/>
      <c r="K18" s="26"/>
      <c r="L18" s="26"/>
      <c r="M18" s="26"/>
      <c r="N18" s="27"/>
      <c r="O18" s="26"/>
      <c r="P18" s="26"/>
      <c r="Q18" s="26"/>
      <c r="R18" s="26"/>
      <c r="S18" s="26"/>
      <c r="T18" s="26"/>
      <c r="U18" s="26"/>
    </row>
    <row r="19" spans="2:21" x14ac:dyDescent="0.25">
      <c r="B19" s="25"/>
      <c r="C19" s="26"/>
      <c r="D19" s="26"/>
      <c r="E19" s="26"/>
      <c r="F19" s="26"/>
      <c r="G19" s="26"/>
      <c r="H19" s="26"/>
      <c r="I19" s="26"/>
      <c r="J19" s="26"/>
      <c r="K19" s="26"/>
      <c r="L19" s="26"/>
      <c r="M19" s="26"/>
      <c r="N19" s="27"/>
      <c r="O19" s="26"/>
      <c r="P19" s="26"/>
      <c r="Q19" s="26"/>
      <c r="R19" s="26"/>
      <c r="S19" s="26"/>
      <c r="T19" s="26"/>
      <c r="U19" s="26"/>
    </row>
    <row r="20" spans="2:21" x14ac:dyDescent="0.25">
      <c r="B20" s="29" t="s">
        <v>7</v>
      </c>
      <c r="C20" s="28"/>
      <c r="D20" s="28"/>
      <c r="E20" s="28"/>
      <c r="F20" s="28"/>
      <c r="G20" s="28"/>
      <c r="H20" s="28"/>
      <c r="I20" s="28"/>
      <c r="J20" s="28"/>
      <c r="K20" s="28"/>
      <c r="L20" s="28"/>
      <c r="M20" s="28"/>
      <c r="N20" s="30"/>
      <c r="O20" s="26"/>
      <c r="P20" s="26"/>
      <c r="Q20" s="26"/>
      <c r="R20" s="26"/>
      <c r="S20" s="26"/>
      <c r="T20" s="26"/>
      <c r="U20" s="26"/>
    </row>
    <row r="21" spans="2:21" x14ac:dyDescent="0.25">
      <c r="B21" s="25"/>
      <c r="C21" s="26"/>
      <c r="D21" s="26"/>
      <c r="E21" s="26"/>
      <c r="F21" s="26"/>
      <c r="G21" s="26"/>
      <c r="H21" s="26"/>
      <c r="I21" s="26"/>
      <c r="J21" s="26"/>
      <c r="K21" s="26"/>
      <c r="L21" s="26"/>
      <c r="M21" s="26"/>
      <c r="N21" s="27"/>
      <c r="O21" s="26"/>
      <c r="P21" s="26"/>
      <c r="Q21" s="26"/>
      <c r="R21" s="26"/>
      <c r="S21" s="26"/>
      <c r="T21" s="26"/>
      <c r="U21" s="26"/>
    </row>
    <row r="22" spans="2:21" x14ac:dyDescent="0.25">
      <c r="B22" s="25"/>
      <c r="C22" s="28" t="s">
        <v>8</v>
      </c>
      <c r="D22" s="28"/>
      <c r="E22" s="26"/>
      <c r="F22" s="26"/>
      <c r="G22" s="26"/>
      <c r="H22" s="26"/>
      <c r="I22" s="26"/>
      <c r="J22" s="26"/>
      <c r="K22" s="26"/>
      <c r="L22" s="26"/>
      <c r="M22" s="26"/>
      <c r="N22" s="27"/>
      <c r="O22" s="26"/>
      <c r="P22" s="26"/>
      <c r="Q22" s="26"/>
      <c r="R22" s="26"/>
      <c r="S22" s="26"/>
      <c r="T22" s="26"/>
      <c r="U22" s="26"/>
    </row>
    <row r="23" spans="2:21" x14ac:dyDescent="0.25">
      <c r="B23" s="25"/>
      <c r="C23" s="26"/>
      <c r="D23" s="26"/>
      <c r="E23" s="26"/>
      <c r="F23" s="26"/>
      <c r="G23" s="26"/>
      <c r="H23" s="26"/>
      <c r="I23" s="26"/>
      <c r="J23" s="26"/>
      <c r="K23" s="26"/>
      <c r="L23" s="26"/>
      <c r="M23" s="26"/>
      <c r="N23" s="27"/>
      <c r="O23" s="26"/>
      <c r="P23" s="26"/>
      <c r="Q23" s="26"/>
      <c r="R23" s="26"/>
      <c r="S23" s="26"/>
      <c r="T23" s="26"/>
      <c r="U23" s="26"/>
    </row>
    <row r="24" spans="2:21" x14ac:dyDescent="0.25">
      <c r="B24" s="51" t="s">
        <v>9</v>
      </c>
      <c r="C24" s="42"/>
      <c r="D24" s="42"/>
      <c r="E24" s="42"/>
      <c r="F24" s="42"/>
      <c r="G24" s="42"/>
      <c r="H24" s="42"/>
      <c r="I24" s="42"/>
      <c r="J24" s="42"/>
      <c r="K24" s="42"/>
      <c r="L24" s="42"/>
      <c r="M24" s="42"/>
      <c r="N24" s="52"/>
      <c r="O24" s="26"/>
      <c r="P24" s="26"/>
      <c r="Q24" s="26"/>
      <c r="R24" s="26"/>
      <c r="S24" s="26"/>
      <c r="T24" s="26"/>
      <c r="U24" s="26"/>
    </row>
    <row r="25" spans="2:21" ht="15.75" thickBot="1" x14ac:dyDescent="0.3">
      <c r="B25" s="46"/>
      <c r="C25" s="47"/>
      <c r="D25" s="47"/>
      <c r="E25" s="47"/>
      <c r="F25" s="47"/>
      <c r="G25" s="47"/>
      <c r="H25" s="47"/>
      <c r="I25" s="47"/>
      <c r="J25" s="47"/>
      <c r="K25" s="47"/>
      <c r="L25" s="47"/>
      <c r="M25" s="47"/>
      <c r="N25" s="48"/>
      <c r="O25" s="26"/>
      <c r="P25" s="26"/>
      <c r="Q25" s="26"/>
      <c r="R25" s="26"/>
      <c r="S25" s="26"/>
      <c r="T25" s="26"/>
      <c r="U25" s="26"/>
    </row>
    <row r="26" spans="2:21" ht="15.75" thickBot="1" x14ac:dyDescent="0.3">
      <c r="B26" s="10"/>
      <c r="N26" s="12"/>
    </row>
    <row r="27" spans="2:21" ht="30" x14ac:dyDescent="0.25">
      <c r="B27" s="10"/>
      <c r="C27" s="60" t="s">
        <v>27</v>
      </c>
      <c r="D27" s="61" t="s">
        <v>28</v>
      </c>
      <c r="E27" s="61" t="s">
        <v>20</v>
      </c>
      <c r="F27" s="61" t="s">
        <v>29</v>
      </c>
      <c r="G27" s="61" t="s">
        <v>22</v>
      </c>
      <c r="H27" s="61" t="s">
        <v>23</v>
      </c>
      <c r="I27" s="61" t="s">
        <v>30</v>
      </c>
      <c r="J27" s="61" t="s">
        <v>31</v>
      </c>
      <c r="K27" s="61" t="s">
        <v>32</v>
      </c>
      <c r="L27" s="62" t="s">
        <v>33</v>
      </c>
      <c r="N27" s="12"/>
    </row>
    <row r="28" spans="2:21" x14ac:dyDescent="0.25">
      <c r="B28" s="10"/>
      <c r="C28" s="19">
        <v>1</v>
      </c>
      <c r="D28" s="20">
        <v>0</v>
      </c>
      <c r="E28" s="20">
        <v>2.2000000000000002</v>
      </c>
      <c r="F28" s="20">
        <v>0</v>
      </c>
      <c r="G28" s="20">
        <v>0</v>
      </c>
      <c r="H28" s="20">
        <f>G28+E28</f>
        <v>2.2000000000000002</v>
      </c>
      <c r="I28" s="20">
        <v>0</v>
      </c>
      <c r="J28" s="20">
        <v>0</v>
      </c>
      <c r="K28" s="20">
        <v>0</v>
      </c>
      <c r="L28" s="21">
        <v>1</v>
      </c>
      <c r="N28" s="12"/>
    </row>
    <row r="29" spans="2:21" x14ac:dyDescent="0.25">
      <c r="B29" s="10"/>
      <c r="C29" s="19">
        <v>2</v>
      </c>
      <c r="D29" s="20">
        <v>1.4</v>
      </c>
      <c r="E29" s="20">
        <v>1.2</v>
      </c>
      <c r="F29" s="20">
        <f>F28+D29</f>
        <v>1.4</v>
      </c>
      <c r="G29" s="20">
        <v>2.2000000000000002</v>
      </c>
      <c r="H29" s="20">
        <f t="shared" ref="H29:H33" si="0">G29+E29</f>
        <v>3.4000000000000004</v>
      </c>
      <c r="I29" s="20">
        <f>G29-F29</f>
        <v>0.80000000000000027</v>
      </c>
      <c r="J29" s="20">
        <v>0</v>
      </c>
      <c r="K29" s="20">
        <f>L28</f>
        <v>1</v>
      </c>
      <c r="L29" s="21">
        <v>0</v>
      </c>
      <c r="N29" s="12"/>
    </row>
    <row r="30" spans="2:21" x14ac:dyDescent="0.25">
      <c r="B30" s="10"/>
      <c r="C30" s="19">
        <v>3</v>
      </c>
      <c r="D30" s="20">
        <v>2.1</v>
      </c>
      <c r="E30" s="20">
        <v>0.3</v>
      </c>
      <c r="F30" s="20">
        <f t="shared" ref="F30:F33" si="1">F29+D30</f>
        <v>3.5</v>
      </c>
      <c r="G30" s="20">
        <v>3.5</v>
      </c>
      <c r="H30" s="20">
        <f t="shared" si="0"/>
        <v>3.8</v>
      </c>
      <c r="I30" s="20">
        <f t="shared" ref="I30:I33" si="2">G30-F30</f>
        <v>0</v>
      </c>
      <c r="J30" s="20">
        <f>G30-H29</f>
        <v>9.9999999999999645E-2</v>
      </c>
      <c r="K30" s="20">
        <f t="shared" ref="K30:K33" si="3">L29</f>
        <v>0</v>
      </c>
      <c r="L30" s="21">
        <v>0</v>
      </c>
      <c r="N30" s="12"/>
    </row>
    <row r="31" spans="2:21" x14ac:dyDescent="0.25">
      <c r="B31" s="10"/>
      <c r="C31" s="19">
        <v>4</v>
      </c>
      <c r="D31" s="20">
        <v>1.9</v>
      </c>
      <c r="E31" s="20">
        <v>2.8</v>
      </c>
      <c r="F31" s="20">
        <f t="shared" si="1"/>
        <v>5.4</v>
      </c>
      <c r="G31" s="20">
        <v>5.4</v>
      </c>
      <c r="H31" s="20">
        <f t="shared" si="0"/>
        <v>8.1999999999999993</v>
      </c>
      <c r="I31" s="20">
        <f t="shared" si="2"/>
        <v>0</v>
      </c>
      <c r="J31" s="20">
        <f t="shared" ref="J31:J33" si="4">G31-H30</f>
        <v>1.6000000000000005</v>
      </c>
      <c r="K31" s="20">
        <f t="shared" si="3"/>
        <v>0</v>
      </c>
      <c r="L31" s="21">
        <v>2</v>
      </c>
      <c r="N31" s="12"/>
    </row>
    <row r="32" spans="2:21" x14ac:dyDescent="0.25">
      <c r="B32" s="10"/>
      <c r="C32" s="19">
        <v>5</v>
      </c>
      <c r="D32" s="20">
        <v>0.2</v>
      </c>
      <c r="E32" s="20">
        <v>0.2</v>
      </c>
      <c r="F32" s="20">
        <f t="shared" si="1"/>
        <v>5.6000000000000005</v>
      </c>
      <c r="G32" s="20">
        <v>8.1999999999999993</v>
      </c>
      <c r="H32" s="20">
        <f t="shared" si="0"/>
        <v>8.3999999999999986</v>
      </c>
      <c r="I32" s="20">
        <f t="shared" si="2"/>
        <v>2.5999999999999988</v>
      </c>
      <c r="J32" s="20">
        <f t="shared" si="4"/>
        <v>0</v>
      </c>
      <c r="K32" s="20">
        <f t="shared" si="3"/>
        <v>2</v>
      </c>
      <c r="L32" s="21">
        <v>1</v>
      </c>
      <c r="N32" s="12"/>
    </row>
    <row r="33" spans="2:21" ht="15.75" thickBot="1" x14ac:dyDescent="0.3">
      <c r="B33" s="10"/>
      <c r="C33" s="22">
        <v>6</v>
      </c>
      <c r="D33" s="23">
        <v>1.5</v>
      </c>
      <c r="E33" s="23">
        <v>1.8</v>
      </c>
      <c r="F33" s="23">
        <f t="shared" si="1"/>
        <v>7.1000000000000005</v>
      </c>
      <c r="G33" s="23">
        <v>8.4</v>
      </c>
      <c r="H33" s="23">
        <f t="shared" si="0"/>
        <v>10.200000000000001</v>
      </c>
      <c r="I33" s="23">
        <f t="shared" si="2"/>
        <v>1.2999999999999998</v>
      </c>
      <c r="J33" s="23">
        <f t="shared" si="4"/>
        <v>0</v>
      </c>
      <c r="K33" s="23">
        <f t="shared" si="3"/>
        <v>1</v>
      </c>
      <c r="L33" s="24">
        <v>0</v>
      </c>
      <c r="N33" s="12"/>
    </row>
    <row r="34" spans="2:21" ht="15.75" thickBot="1" x14ac:dyDescent="0.3">
      <c r="B34" s="10"/>
      <c r="N34" s="12"/>
    </row>
    <row r="35" spans="2:21" ht="15.75" thickBot="1" x14ac:dyDescent="0.3">
      <c r="B35" s="10"/>
      <c r="C35" s="53" t="s">
        <v>34</v>
      </c>
      <c r="D35" s="54"/>
      <c r="E35" s="55">
        <v>0</v>
      </c>
      <c r="F35" s="15" t="s">
        <v>44</v>
      </c>
      <c r="N35" s="12"/>
    </row>
    <row r="36" spans="2:21" ht="15.75" thickBot="1" x14ac:dyDescent="0.3">
      <c r="B36" s="10"/>
      <c r="C36" s="38"/>
      <c r="D36" s="38"/>
      <c r="N36" s="12"/>
    </row>
    <row r="37" spans="2:21" ht="15.75" thickBot="1" x14ac:dyDescent="0.3">
      <c r="B37" s="10"/>
      <c r="C37" s="53" t="s">
        <v>35</v>
      </c>
      <c r="D37" s="54"/>
      <c r="E37" s="55">
        <v>2</v>
      </c>
      <c r="F37" s="15" t="s">
        <v>44</v>
      </c>
      <c r="N37" s="12"/>
    </row>
    <row r="38" spans="2:21" ht="15.75" thickBot="1" x14ac:dyDescent="0.3">
      <c r="B38" s="10"/>
      <c r="C38" s="38"/>
      <c r="D38" s="38"/>
      <c r="E38" s="38"/>
      <c r="N38" s="12"/>
    </row>
    <row r="39" spans="2:21" ht="15.75" thickBot="1" x14ac:dyDescent="0.3">
      <c r="B39" s="10"/>
      <c r="C39" s="53" t="s">
        <v>36</v>
      </c>
      <c r="D39" s="54"/>
      <c r="E39" s="54" t="s">
        <v>41</v>
      </c>
      <c r="F39" s="54"/>
      <c r="G39" s="55">
        <f>SUM(I28:I33)</f>
        <v>4.6999999999999993</v>
      </c>
      <c r="H39" s="15" t="s">
        <v>43</v>
      </c>
      <c r="N39" s="12"/>
    </row>
    <row r="40" spans="2:21" ht="15.75" thickBot="1" x14ac:dyDescent="0.3">
      <c r="B40" s="10"/>
      <c r="N40" s="12"/>
    </row>
    <row r="41" spans="2:21" ht="15.75" thickBot="1" x14ac:dyDescent="0.3">
      <c r="B41" s="10"/>
      <c r="C41" s="53" t="s">
        <v>37</v>
      </c>
      <c r="D41" s="54"/>
      <c r="E41" s="54"/>
      <c r="F41" s="54" t="s">
        <v>55</v>
      </c>
      <c r="G41" s="54"/>
      <c r="H41" s="56">
        <f>G39/6</f>
        <v>0.78333333333333321</v>
      </c>
      <c r="I41" s="15" t="s">
        <v>43</v>
      </c>
      <c r="N41" s="12"/>
    </row>
    <row r="42" spans="2:21" ht="15.75" thickBot="1" x14ac:dyDescent="0.3">
      <c r="B42" s="10"/>
      <c r="G42" s="40"/>
      <c r="N42" s="12"/>
    </row>
    <row r="43" spans="2:21" ht="15.75" thickBot="1" x14ac:dyDescent="0.3">
      <c r="B43" s="10"/>
      <c r="C43" s="53" t="s">
        <v>38</v>
      </c>
      <c r="D43" s="54"/>
      <c r="E43" s="54"/>
      <c r="F43" s="55" t="s">
        <v>40</v>
      </c>
      <c r="G43" s="55">
        <f>SUM(J28:J33)</f>
        <v>1.7000000000000002</v>
      </c>
      <c r="H43" s="15" t="s">
        <v>43</v>
      </c>
      <c r="N43" s="12"/>
    </row>
    <row r="44" spans="2:21" ht="15.75" thickBot="1" x14ac:dyDescent="0.3">
      <c r="B44" s="10"/>
      <c r="N44" s="12"/>
    </row>
    <row r="45" spans="2:21" ht="15.75" thickBot="1" x14ac:dyDescent="0.3">
      <c r="B45" s="10"/>
      <c r="C45" s="53" t="s">
        <v>39</v>
      </c>
      <c r="D45" s="54"/>
      <c r="E45" s="54"/>
      <c r="F45" s="54" t="s">
        <v>42</v>
      </c>
      <c r="G45" s="54"/>
      <c r="H45" s="57">
        <f>(10.2-G43)/10.2</f>
        <v>0.83333333333333337</v>
      </c>
      <c r="N45" s="12"/>
    </row>
    <row r="46" spans="2:21" ht="15.75" thickBot="1" x14ac:dyDescent="0.3">
      <c r="B46" s="16"/>
      <c r="C46" s="17"/>
      <c r="D46" s="17"/>
      <c r="E46" s="17"/>
      <c r="F46" s="17"/>
      <c r="G46" s="17"/>
      <c r="H46" s="17"/>
      <c r="I46" s="17"/>
      <c r="J46" s="17"/>
      <c r="K46" s="17"/>
      <c r="L46" s="17"/>
      <c r="M46" s="17"/>
      <c r="N46" s="18"/>
    </row>
    <row r="47" spans="2:21" ht="15.75" thickBot="1" x14ac:dyDescent="0.3"/>
    <row r="48" spans="2:21" x14ac:dyDescent="0.25">
      <c r="B48" s="43" t="s">
        <v>10</v>
      </c>
      <c r="C48" s="44"/>
      <c r="D48" s="44"/>
      <c r="E48" s="44"/>
      <c r="F48" s="44"/>
      <c r="G48" s="44"/>
      <c r="H48" s="44"/>
      <c r="I48" s="44"/>
      <c r="J48" s="44"/>
      <c r="K48" s="44"/>
      <c r="L48" s="44"/>
      <c r="M48" s="44"/>
      <c r="N48" s="45"/>
      <c r="O48" s="38"/>
      <c r="P48" s="38"/>
      <c r="Q48" s="38"/>
      <c r="R48" s="38"/>
      <c r="S48" s="38"/>
      <c r="T48" s="38"/>
      <c r="U48" s="38"/>
    </row>
    <row r="49" spans="2:21" x14ac:dyDescent="0.25">
      <c r="B49" s="51"/>
      <c r="C49" s="42"/>
      <c r="D49" s="42"/>
      <c r="E49" s="42"/>
      <c r="F49" s="42"/>
      <c r="G49" s="42"/>
      <c r="H49" s="42"/>
      <c r="I49" s="42"/>
      <c r="J49" s="42"/>
      <c r="K49" s="42"/>
      <c r="L49" s="42"/>
      <c r="M49" s="42"/>
      <c r="N49" s="52"/>
      <c r="O49" s="38"/>
      <c r="P49" s="38"/>
      <c r="Q49" s="38"/>
      <c r="R49" s="38"/>
      <c r="S49" s="38"/>
      <c r="T49" s="38"/>
      <c r="U49" s="38"/>
    </row>
    <row r="50" spans="2:21" x14ac:dyDescent="0.25">
      <c r="B50" s="10"/>
      <c r="N50" s="12"/>
    </row>
    <row r="51" spans="2:21" x14ac:dyDescent="0.25">
      <c r="B51" s="29" t="s">
        <v>11</v>
      </c>
      <c r="C51" s="28"/>
      <c r="D51" s="28"/>
      <c r="E51" s="28"/>
      <c r="F51" s="28"/>
      <c r="G51" s="28"/>
      <c r="H51" s="28"/>
      <c r="I51" s="28"/>
      <c r="J51" s="28"/>
      <c r="K51" s="28"/>
      <c r="L51" s="28"/>
      <c r="M51" s="28"/>
      <c r="N51" s="30"/>
    </row>
    <row r="52" spans="2:21" x14ac:dyDescent="0.25">
      <c r="B52" s="58"/>
      <c r="C52" s="50"/>
      <c r="D52" s="50"/>
      <c r="E52" s="50"/>
      <c r="F52" s="50"/>
      <c r="G52" s="50"/>
      <c r="H52" s="50"/>
      <c r="I52" s="50"/>
      <c r="J52" s="50"/>
      <c r="K52" s="50"/>
      <c r="L52" s="50"/>
      <c r="M52" s="50"/>
      <c r="N52" s="59"/>
    </row>
    <row r="53" spans="2:21" ht="15.75" thickBot="1" x14ac:dyDescent="0.3">
      <c r="B53" s="31" t="s">
        <v>12</v>
      </c>
      <c r="C53" s="32"/>
      <c r="D53" s="32"/>
      <c r="E53" s="32"/>
      <c r="F53" s="32"/>
      <c r="G53" s="32"/>
      <c r="H53" s="32"/>
      <c r="I53" s="32"/>
      <c r="J53" s="32"/>
      <c r="K53" s="32"/>
      <c r="L53" s="32"/>
      <c r="M53" s="32"/>
      <c r="N53" s="33"/>
    </row>
    <row r="54" spans="2:21" x14ac:dyDescent="0.25">
      <c r="B54" s="10"/>
      <c r="C54" s="50"/>
      <c r="D54" s="50"/>
      <c r="E54" s="50"/>
      <c r="F54" s="50"/>
      <c r="G54" s="50"/>
      <c r="H54" s="50"/>
      <c r="I54" s="50"/>
      <c r="J54" s="50"/>
      <c r="K54" s="50"/>
      <c r="L54" s="50"/>
      <c r="M54" s="50"/>
      <c r="N54" s="59"/>
    </row>
    <row r="55" spans="2:21" ht="15.75" thickBot="1" x14ac:dyDescent="0.3">
      <c r="B55" s="10"/>
      <c r="N55" s="12"/>
    </row>
    <row r="56" spans="2:21" ht="30" x14ac:dyDescent="0.25">
      <c r="B56" s="10"/>
      <c r="C56" s="35" t="s">
        <v>18</v>
      </c>
      <c r="D56" s="36" t="s">
        <v>19</v>
      </c>
      <c r="E56" s="36" t="s">
        <v>20</v>
      </c>
      <c r="F56" s="36" t="s">
        <v>21</v>
      </c>
      <c r="G56" s="36" t="s">
        <v>22</v>
      </c>
      <c r="H56" s="36" t="s">
        <v>23</v>
      </c>
      <c r="I56" s="37" t="s">
        <v>30</v>
      </c>
      <c r="J56" s="39" t="s">
        <v>51</v>
      </c>
      <c r="K56" s="39" t="s">
        <v>53</v>
      </c>
      <c r="L56" s="39" t="s">
        <v>52</v>
      </c>
      <c r="M56" s="39" t="s">
        <v>54</v>
      </c>
      <c r="N56" s="12"/>
    </row>
    <row r="57" spans="2:21" x14ac:dyDescent="0.25">
      <c r="B57" s="10"/>
      <c r="C57" s="19">
        <v>1</v>
      </c>
      <c r="D57" s="63">
        <v>0</v>
      </c>
      <c r="E57" s="63">
        <v>2.5</v>
      </c>
      <c r="F57" s="63">
        <v>0</v>
      </c>
      <c r="G57" s="63">
        <v>0</v>
      </c>
      <c r="H57" s="63">
        <v>2.5</v>
      </c>
      <c r="I57" s="64">
        <f>G57-F57</f>
        <v>0</v>
      </c>
      <c r="J57" s="41">
        <f>G57</f>
        <v>0</v>
      </c>
      <c r="K57" s="41">
        <f>J57+E57</f>
        <v>2.5</v>
      </c>
      <c r="N57" s="12"/>
    </row>
    <row r="58" spans="2:21" x14ac:dyDescent="0.25">
      <c r="B58" s="10"/>
      <c r="C58" s="19">
        <v>2</v>
      </c>
      <c r="D58" s="63">
        <v>1</v>
      </c>
      <c r="E58" s="63"/>
      <c r="F58" s="63">
        <v>1</v>
      </c>
      <c r="G58" s="63"/>
      <c r="H58" s="63"/>
      <c r="I58" s="21"/>
      <c r="N58" s="12"/>
    </row>
    <row r="59" spans="2:21" x14ac:dyDescent="0.25">
      <c r="B59" s="10"/>
      <c r="C59" s="19">
        <v>3</v>
      </c>
      <c r="D59" s="63">
        <v>1</v>
      </c>
      <c r="E59" s="63">
        <v>2</v>
      </c>
      <c r="F59" s="63">
        <v>2</v>
      </c>
      <c r="G59" s="63">
        <v>2.5</v>
      </c>
      <c r="H59" s="63">
        <v>4.5</v>
      </c>
      <c r="I59" s="64">
        <f>G59-F59</f>
        <v>0.5</v>
      </c>
      <c r="L59" s="41">
        <f>F59</f>
        <v>2</v>
      </c>
      <c r="M59" s="41">
        <f>L59+E59</f>
        <v>4</v>
      </c>
      <c r="N59" s="12"/>
    </row>
    <row r="60" spans="2:21" x14ac:dyDescent="0.25">
      <c r="B60" s="10"/>
      <c r="C60" s="19">
        <v>4</v>
      </c>
      <c r="D60" s="63">
        <v>1</v>
      </c>
      <c r="E60" s="63"/>
      <c r="F60" s="63">
        <v>3</v>
      </c>
      <c r="G60" s="63"/>
      <c r="H60" s="63"/>
      <c r="I60" s="21"/>
      <c r="N60" s="12"/>
    </row>
    <row r="61" spans="2:21" x14ac:dyDescent="0.25">
      <c r="B61" s="10"/>
      <c r="C61" s="19">
        <v>5</v>
      </c>
      <c r="D61" s="63">
        <v>1</v>
      </c>
      <c r="E61" s="63">
        <v>3</v>
      </c>
      <c r="F61" s="63">
        <v>4</v>
      </c>
      <c r="G61" s="63">
        <v>4.5</v>
      </c>
      <c r="H61" s="63">
        <v>7.5</v>
      </c>
      <c r="I61" s="64">
        <f>G61-F61</f>
        <v>0.5</v>
      </c>
      <c r="J61" s="41">
        <f>F61</f>
        <v>4</v>
      </c>
      <c r="K61" s="41">
        <f>J61+E61</f>
        <v>7</v>
      </c>
      <c r="N61" s="12"/>
    </row>
    <row r="62" spans="2:21" x14ac:dyDescent="0.25">
      <c r="B62" s="10"/>
      <c r="C62" s="19">
        <v>6</v>
      </c>
      <c r="D62" s="63">
        <v>1</v>
      </c>
      <c r="E62" s="63">
        <v>1.5</v>
      </c>
      <c r="F62" s="63">
        <v>5</v>
      </c>
      <c r="G62" s="63">
        <v>7.5</v>
      </c>
      <c r="H62" s="63">
        <v>9</v>
      </c>
      <c r="I62" s="64">
        <f>G62-F62</f>
        <v>2.5</v>
      </c>
      <c r="L62" s="41">
        <f>F62</f>
        <v>5</v>
      </c>
      <c r="M62" s="41">
        <f>L62+E62</f>
        <v>6.5</v>
      </c>
      <c r="N62" s="12"/>
    </row>
    <row r="63" spans="2:21" x14ac:dyDescent="0.25">
      <c r="B63" s="10"/>
      <c r="C63" s="19">
        <v>7</v>
      </c>
      <c r="D63" s="63">
        <v>1</v>
      </c>
      <c r="E63" s="63"/>
      <c r="F63" s="63">
        <v>6</v>
      </c>
      <c r="G63" s="63"/>
      <c r="H63" s="63"/>
      <c r="I63" s="21"/>
      <c r="N63" s="12"/>
    </row>
    <row r="64" spans="2:21" x14ac:dyDescent="0.25">
      <c r="B64" s="10"/>
      <c r="C64" s="19">
        <v>8</v>
      </c>
      <c r="D64" s="63">
        <v>1</v>
      </c>
      <c r="E64" s="63">
        <v>2</v>
      </c>
      <c r="F64" s="63">
        <v>7</v>
      </c>
      <c r="G64" s="63">
        <v>9</v>
      </c>
      <c r="H64" s="63">
        <v>11</v>
      </c>
      <c r="I64" s="64">
        <f>G64-F64</f>
        <v>2</v>
      </c>
      <c r="J64" s="41">
        <f>F64</f>
        <v>7</v>
      </c>
      <c r="K64" s="41">
        <f>J64+E64</f>
        <v>9</v>
      </c>
      <c r="N64" s="12"/>
    </row>
    <row r="65" spans="2:14" x14ac:dyDescent="0.25">
      <c r="B65" s="10"/>
      <c r="C65" s="19">
        <v>9</v>
      </c>
      <c r="D65" s="63">
        <v>1</v>
      </c>
      <c r="E65" s="63">
        <v>1</v>
      </c>
      <c r="F65" s="63">
        <v>8</v>
      </c>
      <c r="G65" s="63">
        <v>11</v>
      </c>
      <c r="H65" s="63">
        <v>12</v>
      </c>
      <c r="I65" s="64">
        <f>G65-F65</f>
        <v>3</v>
      </c>
      <c r="L65" s="41">
        <f>F65</f>
        <v>8</v>
      </c>
      <c r="M65" s="41">
        <f>L65+E65</f>
        <v>9</v>
      </c>
      <c r="N65" s="12"/>
    </row>
    <row r="66" spans="2:14" x14ac:dyDescent="0.25">
      <c r="B66" s="10"/>
      <c r="C66" s="19">
        <v>10</v>
      </c>
      <c r="D66" s="63">
        <v>1</v>
      </c>
      <c r="E66" s="63"/>
      <c r="F66" s="63">
        <v>9</v>
      </c>
      <c r="G66" s="63"/>
      <c r="H66" s="63"/>
      <c r="I66" s="21"/>
      <c r="N66" s="12"/>
    </row>
    <row r="67" spans="2:14" x14ac:dyDescent="0.25">
      <c r="B67" s="10"/>
      <c r="C67" s="19">
        <v>11</v>
      </c>
      <c r="D67" s="63">
        <v>1</v>
      </c>
      <c r="E67" s="63"/>
      <c r="F67" s="63">
        <v>10</v>
      </c>
      <c r="G67" s="63"/>
      <c r="H67" s="63"/>
      <c r="I67" s="21"/>
      <c r="N67" s="12"/>
    </row>
    <row r="68" spans="2:14" x14ac:dyDescent="0.25">
      <c r="B68" s="10"/>
      <c r="C68" s="19">
        <v>12</v>
      </c>
      <c r="D68" s="63">
        <v>1</v>
      </c>
      <c r="E68" s="63"/>
      <c r="F68" s="63">
        <v>11</v>
      </c>
      <c r="G68" s="63"/>
      <c r="H68" s="63"/>
      <c r="I68" s="21"/>
      <c r="N68" s="12"/>
    </row>
    <row r="69" spans="2:14" x14ac:dyDescent="0.25">
      <c r="B69" s="10"/>
      <c r="C69" s="19">
        <v>13</v>
      </c>
      <c r="D69" s="63">
        <v>1</v>
      </c>
      <c r="E69" s="63">
        <v>2</v>
      </c>
      <c r="F69" s="63">
        <v>12</v>
      </c>
      <c r="G69" s="63">
        <v>12</v>
      </c>
      <c r="H69" s="63">
        <v>14</v>
      </c>
      <c r="I69" s="64">
        <f>G69-F69</f>
        <v>0</v>
      </c>
      <c r="J69" s="41">
        <f>F69</f>
        <v>12</v>
      </c>
      <c r="K69" s="41">
        <f>J69+E69</f>
        <v>14</v>
      </c>
      <c r="N69" s="12"/>
    </row>
    <row r="70" spans="2:14" x14ac:dyDescent="0.25">
      <c r="B70" s="10"/>
      <c r="C70" s="19">
        <v>14</v>
      </c>
      <c r="D70" s="63">
        <v>1</v>
      </c>
      <c r="E70" s="63"/>
      <c r="F70" s="63">
        <v>13</v>
      </c>
      <c r="G70" s="63"/>
      <c r="H70" s="63"/>
      <c r="I70" s="21"/>
      <c r="N70" s="12"/>
    </row>
    <row r="71" spans="2:14" x14ac:dyDescent="0.25">
      <c r="B71" s="10"/>
      <c r="C71" s="19">
        <v>15</v>
      </c>
      <c r="D71" s="63">
        <v>1</v>
      </c>
      <c r="E71" s="63"/>
      <c r="F71" s="63">
        <v>14</v>
      </c>
      <c r="G71" s="63"/>
      <c r="H71" s="63"/>
      <c r="I71" s="21"/>
      <c r="N71" s="12"/>
    </row>
    <row r="72" spans="2:14" x14ac:dyDescent="0.25">
      <c r="B72" s="10"/>
      <c r="C72" s="19">
        <v>16</v>
      </c>
      <c r="D72" s="63">
        <v>1</v>
      </c>
      <c r="E72" s="63">
        <v>0.5</v>
      </c>
      <c r="F72" s="63">
        <v>15</v>
      </c>
      <c r="G72" s="63">
        <v>15</v>
      </c>
      <c r="H72" s="63">
        <v>15.5</v>
      </c>
      <c r="I72" s="64">
        <f>G72-F72</f>
        <v>0</v>
      </c>
      <c r="J72" s="41">
        <f>F72</f>
        <v>15</v>
      </c>
      <c r="K72" s="41">
        <f>J72+E72</f>
        <v>15.5</v>
      </c>
      <c r="N72" s="12"/>
    </row>
    <row r="73" spans="2:14" x14ac:dyDescent="0.25">
      <c r="B73" s="10"/>
      <c r="C73" s="19">
        <v>17</v>
      </c>
      <c r="D73" s="63">
        <v>1</v>
      </c>
      <c r="E73" s="63"/>
      <c r="F73" s="63">
        <v>16</v>
      </c>
      <c r="G73" s="63"/>
      <c r="H73" s="63"/>
      <c r="I73" s="21"/>
      <c r="N73" s="12"/>
    </row>
    <row r="74" spans="2:14" x14ac:dyDescent="0.25">
      <c r="B74" s="10"/>
      <c r="C74" s="19">
        <v>18</v>
      </c>
      <c r="D74" s="63">
        <v>1</v>
      </c>
      <c r="E74" s="63">
        <v>1.5</v>
      </c>
      <c r="F74" s="63">
        <v>17</v>
      </c>
      <c r="G74" s="63">
        <v>17</v>
      </c>
      <c r="H74" s="63">
        <v>18.5</v>
      </c>
      <c r="I74" s="64">
        <f>G74-F74</f>
        <v>0</v>
      </c>
      <c r="J74" s="41">
        <f>F74</f>
        <v>17</v>
      </c>
      <c r="K74" s="41">
        <f>J74+E74</f>
        <v>18.5</v>
      </c>
      <c r="N74" s="12"/>
    </row>
    <row r="75" spans="2:14" x14ac:dyDescent="0.25">
      <c r="B75" s="10"/>
      <c r="C75" s="19">
        <v>19</v>
      </c>
      <c r="D75" s="63">
        <v>1</v>
      </c>
      <c r="E75" s="63">
        <v>3</v>
      </c>
      <c r="F75" s="63">
        <v>18</v>
      </c>
      <c r="G75" s="63">
        <v>18.5</v>
      </c>
      <c r="H75" s="63">
        <v>21.5</v>
      </c>
      <c r="I75" s="64">
        <f>G75-F75</f>
        <v>0.5</v>
      </c>
      <c r="L75" s="41">
        <f>F75</f>
        <v>18</v>
      </c>
      <c r="M75" s="41">
        <f>L75+E75</f>
        <v>21</v>
      </c>
      <c r="N75" s="12"/>
    </row>
    <row r="76" spans="2:14" ht="15.75" thickBot="1" x14ac:dyDescent="0.3">
      <c r="B76" s="10"/>
      <c r="C76" s="22">
        <v>20</v>
      </c>
      <c r="D76" s="65">
        <v>1</v>
      </c>
      <c r="E76" s="65"/>
      <c r="F76" s="65">
        <v>19</v>
      </c>
      <c r="G76" s="65"/>
      <c r="H76" s="65"/>
      <c r="I76" s="24"/>
      <c r="N76" s="12"/>
    </row>
    <row r="77" spans="2:14" ht="15.75" thickBot="1" x14ac:dyDescent="0.3">
      <c r="B77" s="10"/>
      <c r="N77" s="12"/>
    </row>
    <row r="78" spans="2:14" ht="15.75" thickBot="1" x14ac:dyDescent="0.3">
      <c r="B78" s="10"/>
      <c r="C78" s="53" t="s">
        <v>45</v>
      </c>
      <c r="D78" s="54"/>
      <c r="E78" s="54"/>
      <c r="F78" s="54" t="s">
        <v>46</v>
      </c>
      <c r="G78" s="54"/>
      <c r="H78" s="54"/>
      <c r="I78" s="54"/>
      <c r="J78" s="55">
        <f>SUM(I57:I76) / COUNT(I57:I76)</f>
        <v>0.9</v>
      </c>
      <c r="K78" s="15" t="s">
        <v>47</v>
      </c>
      <c r="N78" s="12"/>
    </row>
    <row r="79" spans="2:14" ht="15.75" thickBot="1" x14ac:dyDescent="0.3">
      <c r="B79" s="10"/>
      <c r="N79" s="12"/>
    </row>
    <row r="80" spans="2:14" ht="15.75" thickBot="1" x14ac:dyDescent="0.3">
      <c r="B80" s="10"/>
      <c r="C80" s="66" t="s">
        <v>48</v>
      </c>
      <c r="D80" s="67" t="s">
        <v>49</v>
      </c>
      <c r="E80" s="67"/>
      <c r="F80" s="67"/>
      <c r="G80" s="67"/>
      <c r="H80" s="67"/>
      <c r="I80" s="67"/>
      <c r="J80" s="67"/>
      <c r="K80" s="67"/>
      <c r="L80" s="67"/>
      <c r="M80" s="68"/>
      <c r="N80" s="12"/>
    </row>
    <row r="81" spans="2:14" ht="15.75" thickBot="1" x14ac:dyDescent="0.3">
      <c r="B81" s="10"/>
      <c r="C81" s="72" t="s">
        <v>56</v>
      </c>
      <c r="D81" s="69">
        <f>(2.5-0) + (4.5-2.5) + (7.5-4.5) + (9-7.5) + (11-9) + (12-11)  + (14-12) + (15.5-15)  + (18.5-17) + (20-18.5)</f>
        <v>17.5</v>
      </c>
      <c r="E81" s="69" t="s">
        <v>50</v>
      </c>
      <c r="F81" s="71">
        <f>D81/20</f>
        <v>0.875</v>
      </c>
      <c r="G81" s="69"/>
      <c r="H81" s="69"/>
      <c r="I81" s="69"/>
      <c r="J81" s="69"/>
      <c r="K81" s="69"/>
      <c r="L81" s="69"/>
      <c r="M81" s="70"/>
      <c r="N81" s="12"/>
    </row>
    <row r="82" spans="2:14" ht="15.75" thickBot="1" x14ac:dyDescent="0.3">
      <c r="B82" s="16"/>
      <c r="C82" s="17"/>
      <c r="D82" s="17"/>
      <c r="E82" s="17"/>
      <c r="F82" s="17"/>
      <c r="G82" s="17"/>
      <c r="H82" s="17"/>
      <c r="I82" s="17"/>
      <c r="J82" s="17"/>
      <c r="K82" s="17"/>
      <c r="L82" s="17"/>
      <c r="M82" s="17"/>
      <c r="N82" s="18"/>
    </row>
    <row r="83" spans="2:14" ht="15.75" thickBot="1" x14ac:dyDescent="0.3"/>
    <row r="84" spans="2:14" x14ac:dyDescent="0.25">
      <c r="B84" s="43" t="s">
        <v>13</v>
      </c>
      <c r="C84" s="44"/>
      <c r="D84" s="44"/>
      <c r="E84" s="44"/>
      <c r="F84" s="44"/>
      <c r="G84" s="44"/>
      <c r="H84" s="44"/>
      <c r="I84" s="44"/>
      <c r="J84" s="44"/>
      <c r="K84" s="44"/>
      <c r="L84" s="44"/>
      <c r="M84" s="44"/>
      <c r="N84" s="45"/>
    </row>
    <row r="85" spans="2:14" x14ac:dyDescent="0.25">
      <c r="B85" s="51"/>
      <c r="C85" s="42"/>
      <c r="D85" s="42"/>
      <c r="E85" s="42"/>
      <c r="F85" s="42"/>
      <c r="G85" s="42"/>
      <c r="H85" s="42"/>
      <c r="I85" s="42"/>
      <c r="J85" s="42"/>
      <c r="K85" s="42"/>
      <c r="L85" s="42"/>
      <c r="M85" s="42"/>
      <c r="N85" s="52"/>
    </row>
    <row r="86" spans="2:14" x14ac:dyDescent="0.25">
      <c r="B86" s="10"/>
      <c r="N86" s="12"/>
    </row>
    <row r="87" spans="2:14" x14ac:dyDescent="0.25">
      <c r="B87" s="10"/>
      <c r="C87" s="28" t="s">
        <v>14</v>
      </c>
      <c r="D87" s="28"/>
      <c r="E87" s="28"/>
      <c r="N87" s="12"/>
    </row>
    <row r="88" spans="2:14" x14ac:dyDescent="0.25">
      <c r="B88" s="10"/>
      <c r="C88" s="28" t="s">
        <v>15</v>
      </c>
      <c r="D88" s="28"/>
      <c r="E88" s="28"/>
      <c r="N88" s="12"/>
    </row>
    <row r="89" spans="2:14" x14ac:dyDescent="0.25">
      <c r="B89" s="10"/>
      <c r="C89" s="28" t="s">
        <v>16</v>
      </c>
      <c r="D89" s="28"/>
      <c r="E89" s="28"/>
      <c r="N89" s="12"/>
    </row>
    <row r="90" spans="2:14" ht="15.75" thickBot="1" x14ac:dyDescent="0.3">
      <c r="B90" s="16"/>
      <c r="C90" s="32" t="s">
        <v>17</v>
      </c>
      <c r="D90" s="32"/>
      <c r="E90" s="32"/>
      <c r="F90" s="17"/>
      <c r="G90" s="17"/>
      <c r="H90" s="17"/>
      <c r="I90" s="17"/>
      <c r="J90" s="17"/>
      <c r="K90" s="17"/>
      <c r="L90" s="17"/>
      <c r="M90" s="17"/>
      <c r="N90" s="18"/>
    </row>
    <row r="91" spans="2:14" ht="15.75" thickBot="1" x14ac:dyDescent="0.3">
      <c r="B91" s="10"/>
      <c r="N91" s="12"/>
    </row>
    <row r="92" spans="2:14" x14ac:dyDescent="0.25">
      <c r="B92" s="10"/>
      <c r="C92" s="73" t="s">
        <v>57</v>
      </c>
      <c r="D92" s="74"/>
      <c r="E92" s="74"/>
      <c r="F92" s="74"/>
      <c r="G92" s="74"/>
      <c r="H92" s="74"/>
      <c r="I92" s="74"/>
      <c r="J92" s="74"/>
      <c r="K92" s="74"/>
      <c r="L92" s="74"/>
      <c r="M92" s="75"/>
      <c r="N92" s="12"/>
    </row>
    <row r="93" spans="2:14" ht="15.75" thickBot="1" x14ac:dyDescent="0.3">
      <c r="B93" s="10"/>
      <c r="C93" s="76"/>
      <c r="D93" s="77"/>
      <c r="E93" s="77"/>
      <c r="F93" s="77"/>
      <c r="G93" s="77"/>
      <c r="H93" s="77"/>
      <c r="I93" s="77"/>
      <c r="J93" s="77"/>
      <c r="K93" s="77"/>
      <c r="L93" s="77"/>
      <c r="M93" s="78"/>
      <c r="N93" s="12"/>
    </row>
    <row r="94" spans="2:14" ht="15.75" thickBot="1" x14ac:dyDescent="0.3">
      <c r="B94" s="16"/>
      <c r="C94" s="17"/>
      <c r="D94" s="17"/>
      <c r="E94" s="17"/>
      <c r="F94" s="17"/>
      <c r="G94" s="17"/>
      <c r="H94" s="17"/>
      <c r="I94" s="17"/>
      <c r="J94" s="17"/>
      <c r="K94" s="17"/>
      <c r="L94" s="17"/>
      <c r="M94" s="17"/>
      <c r="N94" s="18"/>
    </row>
  </sheetData>
  <mergeCells count="31">
    <mergeCell ref="C92:M93"/>
    <mergeCell ref="C87:E87"/>
    <mergeCell ref="C88:E88"/>
    <mergeCell ref="C89:E89"/>
    <mergeCell ref="C90:E90"/>
    <mergeCell ref="C78:E78"/>
    <mergeCell ref="F78:I78"/>
    <mergeCell ref="D80:M80"/>
    <mergeCell ref="B84:N85"/>
    <mergeCell ref="B48:N49"/>
    <mergeCell ref="B51:N51"/>
    <mergeCell ref="B53:N53"/>
    <mergeCell ref="C39:D39"/>
    <mergeCell ref="E39:F39"/>
    <mergeCell ref="C41:E41"/>
    <mergeCell ref="F41:G41"/>
    <mergeCell ref="C43:E43"/>
    <mergeCell ref="C45:E45"/>
    <mergeCell ref="F45:G45"/>
    <mergeCell ref="B15:N16"/>
    <mergeCell ref="B20:N20"/>
    <mergeCell ref="B24:N25"/>
    <mergeCell ref="C35:D35"/>
    <mergeCell ref="C37:D37"/>
    <mergeCell ref="C18:D18"/>
    <mergeCell ref="C22:D22"/>
    <mergeCell ref="B2:E2"/>
    <mergeCell ref="B3:E3"/>
    <mergeCell ref="B4:E4"/>
    <mergeCell ref="B5:E5"/>
    <mergeCell ref="B7:N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Naval Postgraduate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 Stephen (Anthony) (CIV)</dc:creator>
  <cp:lastModifiedBy>Day, Stephen (Anthony) (CIV)</cp:lastModifiedBy>
  <dcterms:created xsi:type="dcterms:W3CDTF">2026-01-14T00:29:02Z</dcterms:created>
  <dcterms:modified xsi:type="dcterms:W3CDTF">2026-01-15T02:31:34Z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bbd4a6-dc2f-44d9-ad2c-c28d4679873f_Enabled">
    <vt:lpwstr>true</vt:lpwstr>
  </property>
  <property fmtid="{D5CDD505-2E9C-101B-9397-08002B2CF9AE}" pid="3" name="MSIP_Label_acbbd4a6-dc2f-44d9-ad2c-c28d4679873f_SetDate">
    <vt:lpwstr>2026-01-14T02:22:47Z</vt:lpwstr>
  </property>
  <property fmtid="{D5CDD505-2E9C-101B-9397-08002B2CF9AE}" pid="4" name="MSIP_Label_acbbd4a6-dc2f-44d9-ad2c-c28d4679873f_Method">
    <vt:lpwstr>Standard</vt:lpwstr>
  </property>
  <property fmtid="{D5CDD505-2E9C-101B-9397-08002B2CF9AE}" pid="5" name="MSIP_Label_acbbd4a6-dc2f-44d9-ad2c-c28d4679873f_Name">
    <vt:lpwstr>No Label</vt:lpwstr>
  </property>
  <property fmtid="{D5CDD505-2E9C-101B-9397-08002B2CF9AE}" pid="6" name="MSIP_Label_acbbd4a6-dc2f-44d9-ad2c-c28d4679873f_SiteId">
    <vt:lpwstr>6d936231-a517-40ea-9199-f7578963378e</vt:lpwstr>
  </property>
  <property fmtid="{D5CDD505-2E9C-101B-9397-08002B2CF9AE}" pid="7" name="MSIP_Label_acbbd4a6-dc2f-44d9-ad2c-c28d4679873f_ActionId">
    <vt:lpwstr>67533295-e3f1-4b63-85cb-5830bf2ed06a</vt:lpwstr>
  </property>
  <property fmtid="{D5CDD505-2E9C-101B-9397-08002B2CF9AE}" pid="8" name="MSIP_Label_acbbd4a6-dc2f-44d9-ad2c-c28d4679873f_ContentBits">
    <vt:lpwstr>0</vt:lpwstr>
  </property>
  <property fmtid="{D5CDD505-2E9C-101B-9397-08002B2CF9AE}" pid="9" name="MSIP_Label_acbbd4a6-dc2f-44d9-ad2c-c28d4679873f_Tag">
    <vt:lpwstr>10, 3, 0, 1</vt:lpwstr>
  </property>
</Properties>
</file>