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hristopher_t_jones6_civ_army_mil/Documents/Christopher/Naval Post Graduate/Modeling and Simulation/Week 1 Course Overview M&amp;S Introduction/"/>
    </mc:Choice>
  </mc:AlternateContent>
  <xr:revisionPtr revIDLastSave="293" documentId="8_{C1BB5945-51C0-4A0D-9A6A-00DC8EE91106}" xr6:coauthVersionLast="47" xr6:coauthVersionMax="47" xr10:uidLastSave="{0BC596EB-0B00-4A47-A1AB-13F3601848E5}"/>
  <bookViews>
    <workbookView xWindow="28680" yWindow="-90" windowWidth="29040" windowHeight="15690" activeTab="2" xr2:uid="{12851FCB-C1B2-492B-BC37-2D8ED814CECD}"/>
  </bookViews>
  <sheets>
    <sheet name="Problem 1" sheetId="1" r:id="rId1"/>
    <sheet name="Problem 2" sheetId="2" r:id="rId2"/>
    <sheet name="Problem 3" sheetId="3" r:id="rId3"/>
    <sheet name="Problem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E45" i="3"/>
  <c r="E43" i="3"/>
  <c r="E42" i="3"/>
  <c r="E41" i="3"/>
  <c r="H33" i="3"/>
  <c r="H32" i="3"/>
  <c r="H21" i="3"/>
  <c r="H20" i="3"/>
  <c r="H18" i="3"/>
  <c r="H17" i="3"/>
  <c r="H15" i="3"/>
  <c r="K20" i="2"/>
  <c r="K19" i="2"/>
  <c r="K16" i="2"/>
  <c r="K17" i="2"/>
  <c r="K18" i="2"/>
  <c r="K15" i="2"/>
  <c r="K14" i="2"/>
  <c r="H20" i="2"/>
  <c r="H19" i="2"/>
  <c r="I20" i="2"/>
  <c r="I19" i="2"/>
  <c r="G7" i="2"/>
  <c r="E7" i="2"/>
  <c r="D7" i="2"/>
  <c r="F7" i="2"/>
  <c r="A7" i="1"/>
  <c r="E12" i="1"/>
  <c r="E11" i="1"/>
</calcChain>
</file>

<file path=xl/sharedStrings.xml><?xml version="1.0" encoding="utf-8"?>
<sst xmlns="http://schemas.openxmlformats.org/spreadsheetml/2006/main" count="61" uniqueCount="58">
  <si>
    <t>. (1 point) The length of a queue during a 30 minute period is 3 for the first 5 minutes, 4 for the</t>
  </si>
  <si>
    <t>next 10 minutes, 2 for the next 6 minutes, and 3 for the last 9 minutes. What is the average</t>
  </si>
  <si>
    <t>queue length during this time?</t>
  </si>
  <si>
    <t>L=((3*5)+(4*10)+(2*6)+(3*9))/30=</t>
  </si>
  <si>
    <t> (4 points) Compute this problem manually without the aid of a simulation tool. A Navy</t>
  </si>
  <si>
    <t>helicopter mechanic starts his shift and services incoming helicopters at the following inter-</t>
  </si>
  <si>
    <t>arrival times in hours:</t>
  </si>
  <si>
    <t>Arrival Interval</t>
  </si>
  <si>
    <t>Arrival Total Time</t>
  </si>
  <si>
    <t>Service Time</t>
  </si>
  <si>
    <t>Calculate the minimum and maximum queue length for this period, the total queue time (total</t>
  </si>
  <si>
    <t>time spent in queue for all pilots), the average waiting time in queue, the total idle time for</t>
  </si>
  <si>
    <t>the mechanic, and the resource utilization for the mechanic. Show all your work.</t>
  </si>
  <si>
    <t>Helo</t>
  </si>
  <si>
    <t>Interval Time</t>
  </si>
  <si>
    <t>Repair Time</t>
  </si>
  <si>
    <t>Clock Time</t>
  </si>
  <si>
    <t>Repair Start</t>
  </si>
  <si>
    <t>Repair End</t>
  </si>
  <si>
    <t>Wait Time</t>
  </si>
  <si>
    <t>Repair Idle Time</t>
  </si>
  <si>
    <t>Que Start</t>
  </si>
  <si>
    <t>Total Que Time</t>
  </si>
  <si>
    <t>AVERAGES</t>
  </si>
  <si>
    <t>TOTALS</t>
  </si>
  <si>
    <t>3. (5 points) Below is another depiction of the class example for the Navy cargo ship maintenance</t>
  </si>
  <si>
    <t>facility scenario. This is for the single facility configuration and all time units are in days.</t>
  </si>
  <si>
    <t>1) What is the average waiting time for the ships that need service?</t>
  </si>
  <si>
    <t>2) Calculate the 20-day resource utilization of the single facility using fractional days. The</t>
  </si>
  <si>
    <t>facility is open and staffed 24 hours each day available for servic</t>
  </si>
  <si>
    <t>Ship</t>
  </si>
  <si>
    <t>Service Start</t>
  </si>
  <si>
    <t>Service end</t>
  </si>
  <si>
    <t>Arrival Time</t>
  </si>
  <si>
    <t>Average wait time</t>
  </si>
  <si>
    <t>There is 3.5 hours of down time between the end of one day and the beginning of the next.</t>
  </si>
  <si>
    <t>down time</t>
  </si>
  <si>
    <t>6 hours of down time per day.</t>
  </si>
  <si>
    <t>20days*24hours</t>
  </si>
  <si>
    <t>20 days *6 hours</t>
  </si>
  <si>
    <t>Total Facility Utilization hours</t>
  </si>
  <si>
    <t>Based off the table an additioinal 2.5 hours of downtime.</t>
  </si>
  <si>
    <t>75% utilization rate for 20 days.</t>
  </si>
  <si>
    <t>Total Days of Utilization</t>
  </si>
  <si>
    <t> (1 point) In Problem</t>
  </si>
  <si>
    <t>3,</t>
  </si>
  <si>
    <t>how might the resource utilization change for the first facility when a</t>
  </si>
  <si>
    <t>second facility is added? In this case ships will be serviced by the second facility when the first</t>
  </si>
  <si>
    <t>is busy. Assume the same inputs for ship arrivals and service durations.</t>
  </si>
  <si>
    <t>A. it will be the same</t>
  </si>
  <si>
    <t>B. it will increase</t>
  </si>
  <si>
    <t>C. it will decrease</t>
  </si>
  <si>
    <t>D. it cannot be determined</t>
  </si>
  <si>
    <t xml:space="preserve">The resource utilization will decrease by adding a second facility.  </t>
  </si>
  <si>
    <t>The time it takes to repair the ships did not change, one facility was able to complete all</t>
  </si>
  <si>
    <t>required services within a 1 day period.  If there are two facilities, there would be a tremendous</t>
  </si>
  <si>
    <t>amount of downtime due to lack of ships requiring service.</t>
  </si>
  <si>
    <t>The resource capability doubled (two facilities instead of one) but the workload did not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</si>
</sst>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FF20-C6DD-4114-925E-5BA449E7EA98}">
  <dimension ref="A1:E12"/>
  <sheetViews>
    <sheetView workbookViewId="0">
      <selection activeCell="J8" sqref="J8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ht="15.75" x14ac:dyDescent="0.25">
      <c r="A5" s="1" t="s">
        <v>3</v>
      </c>
    </row>
    <row r="7" spans="1:5" x14ac:dyDescent="0.25">
      <c r="A7">
        <f>((3*5)+(4*10)+(2*6)+(3*9))/30</f>
        <v>3.1333333333333333</v>
      </c>
      <c r="E7">
        <v>15</v>
      </c>
    </row>
    <row r="8" spans="1:5" x14ac:dyDescent="0.25">
      <c r="E8">
        <v>40</v>
      </c>
    </row>
    <row r="9" spans="1:5" x14ac:dyDescent="0.25">
      <c r="E9">
        <v>12</v>
      </c>
    </row>
    <row r="10" spans="1:5" x14ac:dyDescent="0.25">
      <c r="E10">
        <v>27</v>
      </c>
    </row>
    <row r="11" spans="1:5" x14ac:dyDescent="0.25">
      <c r="E11">
        <f>SUM(E7:E10)</f>
        <v>94</v>
      </c>
    </row>
    <row r="12" spans="1:5" x14ac:dyDescent="0.25">
      <c r="E12">
        <f>E11/30</f>
        <v>3.1333333333333333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409D-631F-4523-BDAF-0137F7C24660}">
  <dimension ref="A2:K20"/>
  <sheetViews>
    <sheetView workbookViewId="0">
      <selection activeCell="D21" sqref="D21"/>
    </sheetView>
  </sheetViews>
  <sheetFormatPr defaultRowHeight="15" x14ac:dyDescent="0.25"/>
  <cols>
    <col min="1" max="1" width="83.85546875" bestFit="1" customWidth="1"/>
    <col min="3" max="3" width="12.28515625" bestFit="1" customWidth="1"/>
    <col min="4" max="4" width="11.42578125" bestFit="1" customWidth="1"/>
    <col min="5" max="5" width="10.5703125" bestFit="1" customWidth="1"/>
    <col min="6" max="6" width="11.140625" bestFit="1" customWidth="1"/>
    <col min="7" max="7" width="10.42578125" bestFit="1" customWidth="1"/>
    <col min="8" max="8" width="9.7109375" bestFit="1" customWidth="1"/>
    <col min="9" max="9" width="15.28515625" bestFit="1" customWidth="1"/>
    <col min="10" max="10" width="9" bestFit="1" customWidth="1"/>
    <col min="11" max="11" width="12" bestFit="1" customWidth="1"/>
  </cols>
  <sheetData>
    <row r="2" spans="1:11" x14ac:dyDescent="0.25">
      <c r="A2" t="s">
        <v>4</v>
      </c>
    </row>
    <row r="3" spans="1:11" x14ac:dyDescent="0.25">
      <c r="A3" t="s">
        <v>5</v>
      </c>
    </row>
    <row r="4" spans="1:11" x14ac:dyDescent="0.25">
      <c r="A4" t="s">
        <v>6</v>
      </c>
    </row>
    <row r="6" spans="1:11" x14ac:dyDescent="0.25">
      <c r="A6" s="2" t="s">
        <v>7</v>
      </c>
      <c r="B6">
        <v>0</v>
      </c>
      <c r="C6">
        <v>1.4</v>
      </c>
      <c r="D6">
        <v>2.1</v>
      </c>
      <c r="E6">
        <v>1.9</v>
      </c>
      <c r="F6">
        <v>0.2</v>
      </c>
      <c r="G6">
        <v>1.5</v>
      </c>
    </row>
    <row r="7" spans="1:11" x14ac:dyDescent="0.25">
      <c r="A7" s="2" t="s">
        <v>8</v>
      </c>
      <c r="B7">
        <v>0</v>
      </c>
      <c r="C7">
        <v>1.4</v>
      </c>
      <c r="D7">
        <f>C6+D6</f>
        <v>3.5</v>
      </c>
      <c r="E7">
        <f>D7+E6</f>
        <v>5.4</v>
      </c>
      <c r="F7">
        <f>E7+F6</f>
        <v>5.6000000000000005</v>
      </c>
      <c r="G7">
        <f>F7+G6</f>
        <v>7.1000000000000005</v>
      </c>
    </row>
    <row r="9" spans="1:11" x14ac:dyDescent="0.25">
      <c r="A9" t="s">
        <v>9</v>
      </c>
      <c r="B9">
        <v>2.2000000000000002</v>
      </c>
      <c r="C9">
        <v>1.2</v>
      </c>
      <c r="D9">
        <v>0.3</v>
      </c>
      <c r="E9">
        <v>2.8</v>
      </c>
      <c r="F9">
        <v>0.2</v>
      </c>
      <c r="G9">
        <v>1.8</v>
      </c>
    </row>
    <row r="12" spans="1:11" x14ac:dyDescent="0.25">
      <c r="A12" t="s">
        <v>10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</row>
    <row r="13" spans="1:11" x14ac:dyDescent="0.25">
      <c r="A13" t="s">
        <v>11</v>
      </c>
      <c r="B13">
        <v>1</v>
      </c>
      <c r="C13">
        <v>0</v>
      </c>
      <c r="D13">
        <v>2.2000000000000002</v>
      </c>
      <c r="E13">
        <v>0</v>
      </c>
      <c r="F13">
        <v>0</v>
      </c>
      <c r="G13">
        <v>2.2000000000000002</v>
      </c>
      <c r="H13">
        <v>0</v>
      </c>
      <c r="I13">
        <v>0</v>
      </c>
      <c r="J13">
        <v>0</v>
      </c>
      <c r="K13">
        <v>2.2000000000000002</v>
      </c>
    </row>
    <row r="14" spans="1:11" x14ac:dyDescent="0.25">
      <c r="A14" t="s">
        <v>12</v>
      </c>
      <c r="B14">
        <v>2</v>
      </c>
      <c r="C14">
        <v>1.4</v>
      </c>
      <c r="D14">
        <v>1.2</v>
      </c>
      <c r="E14">
        <v>1.4</v>
      </c>
      <c r="F14">
        <v>2.2000000000000002</v>
      </c>
      <c r="G14">
        <v>3.4</v>
      </c>
      <c r="H14">
        <v>0.8</v>
      </c>
      <c r="K14">
        <f>G14-E14</f>
        <v>2</v>
      </c>
    </row>
    <row r="15" spans="1:11" x14ac:dyDescent="0.25">
      <c r="B15">
        <v>3</v>
      </c>
      <c r="C15">
        <v>2.1</v>
      </c>
      <c r="D15">
        <v>0.3</v>
      </c>
      <c r="E15">
        <v>3.5</v>
      </c>
      <c r="F15">
        <v>3.4</v>
      </c>
      <c r="G15">
        <v>3.7</v>
      </c>
      <c r="H15">
        <v>0.1</v>
      </c>
      <c r="K15">
        <f>G15-E15</f>
        <v>0.20000000000000018</v>
      </c>
    </row>
    <row r="16" spans="1:11" x14ac:dyDescent="0.25">
      <c r="B16">
        <v>4</v>
      </c>
      <c r="C16">
        <v>1.9</v>
      </c>
      <c r="D16">
        <v>2.8</v>
      </c>
      <c r="E16">
        <v>5.4</v>
      </c>
      <c r="F16">
        <v>5.4</v>
      </c>
      <c r="G16">
        <v>8.1999999999999993</v>
      </c>
      <c r="H16">
        <v>0</v>
      </c>
      <c r="I16">
        <v>1.7</v>
      </c>
      <c r="K16">
        <f t="shared" ref="K16:K18" si="0">G16-E16</f>
        <v>2.7999999999999989</v>
      </c>
    </row>
    <row r="17" spans="2:11" x14ac:dyDescent="0.25">
      <c r="B17">
        <v>5</v>
      </c>
      <c r="C17">
        <v>0.2</v>
      </c>
      <c r="D17">
        <v>0.2</v>
      </c>
      <c r="E17">
        <v>5.6</v>
      </c>
      <c r="F17">
        <v>8.1999999999999993</v>
      </c>
      <c r="G17">
        <v>8.4</v>
      </c>
      <c r="H17">
        <v>0</v>
      </c>
      <c r="K17">
        <f t="shared" si="0"/>
        <v>2.8000000000000007</v>
      </c>
    </row>
    <row r="18" spans="2:11" x14ac:dyDescent="0.25">
      <c r="B18">
        <v>6</v>
      </c>
      <c r="C18">
        <v>1.5</v>
      </c>
      <c r="D18">
        <v>1.8</v>
      </c>
      <c r="E18">
        <v>7.1</v>
      </c>
      <c r="F18">
        <v>8.4</v>
      </c>
      <c r="G18">
        <v>10.199999999999999</v>
      </c>
      <c r="H18">
        <v>0</v>
      </c>
      <c r="K18">
        <f t="shared" si="0"/>
        <v>3.0999999999999996</v>
      </c>
    </row>
    <row r="19" spans="2:11" x14ac:dyDescent="0.25">
      <c r="G19" s="3" t="s">
        <v>24</v>
      </c>
      <c r="H19" s="3">
        <f>SUM(H13:H18)</f>
        <v>0.9</v>
      </c>
      <c r="I19" s="3">
        <f>SUM(I13:I18)</f>
        <v>1.7</v>
      </c>
      <c r="J19" s="3"/>
      <c r="K19" s="3">
        <f>SUM(K13:K18)</f>
        <v>13.1</v>
      </c>
    </row>
    <row r="20" spans="2:11" x14ac:dyDescent="0.25">
      <c r="G20" s="3" t="s">
        <v>23</v>
      </c>
      <c r="H20" s="3">
        <f>H19/6</f>
        <v>0.15</v>
      </c>
      <c r="I20" s="4">
        <f>I19/6</f>
        <v>0.28333333333333333</v>
      </c>
      <c r="J20" s="3"/>
      <c r="K20" s="4">
        <f>K19/6</f>
        <v>2.1833333333333331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A170-BA93-4C09-8AD0-BFEAB24D6204}">
  <dimension ref="A2:J45"/>
  <sheetViews>
    <sheetView tabSelected="1" topLeftCell="A7" workbookViewId="0">
      <selection activeCell="F46" sqref="F46"/>
    </sheetView>
  </sheetViews>
  <sheetFormatPr defaultRowHeight="15" x14ac:dyDescent="0.25"/>
  <cols>
    <col min="3" max="3" width="12.28515625" bestFit="1" customWidth="1"/>
    <col min="4" max="4" width="11.85546875" bestFit="1" customWidth="1"/>
    <col min="5" max="5" width="10.7109375" bestFit="1" customWidth="1"/>
    <col min="6" max="6" width="11.5703125" bestFit="1" customWidth="1"/>
    <col min="7" max="7" width="10.85546875" bestFit="1" customWidth="1"/>
  </cols>
  <sheetData>
    <row r="2" spans="1:9" x14ac:dyDescent="0.25">
      <c r="A2" t="s">
        <v>25</v>
      </c>
    </row>
    <row r="3" spans="1:9" x14ac:dyDescent="0.25">
      <c r="A3" t="s">
        <v>26</v>
      </c>
    </row>
    <row r="4" spans="1:9" x14ac:dyDescent="0.25">
      <c r="A4" t="s">
        <v>27</v>
      </c>
    </row>
    <row r="5" spans="1:9" x14ac:dyDescent="0.25">
      <c r="A5" t="s">
        <v>28</v>
      </c>
    </row>
    <row r="6" spans="1:9" x14ac:dyDescent="0.25">
      <c r="A6" t="s">
        <v>29</v>
      </c>
    </row>
    <row r="12" spans="1:9" x14ac:dyDescent="0.25">
      <c r="B12" t="s">
        <v>30</v>
      </c>
      <c r="C12" t="s">
        <v>14</v>
      </c>
      <c r="D12" t="s">
        <v>9</v>
      </c>
      <c r="E12" t="s">
        <v>33</v>
      </c>
      <c r="F12" t="s">
        <v>31</v>
      </c>
      <c r="G12" t="s">
        <v>32</v>
      </c>
      <c r="H12" t="s">
        <v>19</v>
      </c>
      <c r="I12" t="s">
        <v>36</v>
      </c>
    </row>
    <row r="13" spans="1:9" x14ac:dyDescent="0.25">
      <c r="B13">
        <v>1</v>
      </c>
      <c r="C13">
        <v>0</v>
      </c>
      <c r="D13">
        <v>2.5</v>
      </c>
      <c r="E13">
        <v>0</v>
      </c>
      <c r="F13">
        <v>0</v>
      </c>
      <c r="G13">
        <v>2.5</v>
      </c>
      <c r="H13">
        <v>0</v>
      </c>
    </row>
    <row r="14" spans="1:9" x14ac:dyDescent="0.25">
      <c r="B14">
        <v>2</v>
      </c>
      <c r="C14">
        <v>1</v>
      </c>
      <c r="E14">
        <v>1</v>
      </c>
    </row>
    <row r="15" spans="1:9" x14ac:dyDescent="0.25">
      <c r="B15">
        <v>3</v>
      </c>
      <c r="C15">
        <v>1</v>
      </c>
      <c r="D15">
        <v>2</v>
      </c>
      <c r="E15">
        <v>2</v>
      </c>
      <c r="F15">
        <v>2.5</v>
      </c>
      <c r="G15">
        <v>4.5</v>
      </c>
      <c r="H15">
        <f>G13-E15</f>
        <v>0.5</v>
      </c>
    </row>
    <row r="16" spans="1:9" x14ac:dyDescent="0.25">
      <c r="B16">
        <v>4</v>
      </c>
      <c r="C16">
        <v>1</v>
      </c>
      <c r="E16">
        <v>3</v>
      </c>
    </row>
    <row r="17" spans="2:9" x14ac:dyDescent="0.25">
      <c r="B17">
        <v>5</v>
      </c>
      <c r="C17">
        <v>1</v>
      </c>
      <c r="D17">
        <v>3</v>
      </c>
      <c r="E17">
        <v>4</v>
      </c>
      <c r="F17">
        <v>4.5</v>
      </c>
      <c r="G17">
        <v>7.5</v>
      </c>
      <c r="H17">
        <f>F17-E17</f>
        <v>0.5</v>
      </c>
    </row>
    <row r="18" spans="2:9" x14ac:dyDescent="0.25">
      <c r="B18">
        <v>6</v>
      </c>
      <c r="C18">
        <v>1</v>
      </c>
      <c r="D18">
        <v>1.5</v>
      </c>
      <c r="E18">
        <v>5</v>
      </c>
      <c r="F18">
        <v>7.5</v>
      </c>
      <c r="G18">
        <v>9</v>
      </c>
      <c r="H18">
        <f>F18-E18</f>
        <v>2.5</v>
      </c>
    </row>
    <row r="19" spans="2:9" x14ac:dyDescent="0.25">
      <c r="B19">
        <v>7</v>
      </c>
      <c r="C19">
        <v>1</v>
      </c>
      <c r="E19">
        <v>6</v>
      </c>
    </row>
    <row r="20" spans="2:9" x14ac:dyDescent="0.25">
      <c r="B20">
        <v>8</v>
      </c>
      <c r="C20">
        <v>1</v>
      </c>
      <c r="D20">
        <v>2</v>
      </c>
      <c r="E20">
        <v>7</v>
      </c>
      <c r="F20">
        <v>9</v>
      </c>
      <c r="G20">
        <v>11</v>
      </c>
      <c r="H20">
        <f>F20-E20</f>
        <v>2</v>
      </c>
    </row>
    <row r="21" spans="2:9" x14ac:dyDescent="0.25">
      <c r="B21">
        <v>9</v>
      </c>
      <c r="C21">
        <v>1</v>
      </c>
      <c r="D21">
        <v>1</v>
      </c>
      <c r="E21">
        <v>8</v>
      </c>
      <c r="F21">
        <v>11</v>
      </c>
      <c r="G21">
        <v>12</v>
      </c>
      <c r="H21">
        <f>F21-E21</f>
        <v>3</v>
      </c>
    </row>
    <row r="22" spans="2:9" x14ac:dyDescent="0.25">
      <c r="B22">
        <v>10</v>
      </c>
      <c r="C22">
        <v>1</v>
      </c>
      <c r="E22">
        <v>9</v>
      </c>
    </row>
    <row r="23" spans="2:9" x14ac:dyDescent="0.25">
      <c r="B23">
        <v>11</v>
      </c>
      <c r="C23">
        <v>1</v>
      </c>
      <c r="E23">
        <v>10</v>
      </c>
    </row>
    <row r="24" spans="2:9" x14ac:dyDescent="0.25">
      <c r="B24">
        <v>12</v>
      </c>
      <c r="C24">
        <v>1</v>
      </c>
      <c r="E24">
        <v>11</v>
      </c>
    </row>
    <row r="25" spans="2:9" x14ac:dyDescent="0.25">
      <c r="B25">
        <v>13</v>
      </c>
      <c r="C25">
        <v>1</v>
      </c>
      <c r="D25">
        <v>2</v>
      </c>
      <c r="E25">
        <v>12</v>
      </c>
      <c r="F25">
        <v>12</v>
      </c>
      <c r="G25">
        <v>14</v>
      </c>
      <c r="H25">
        <v>0</v>
      </c>
    </row>
    <row r="26" spans="2:9" x14ac:dyDescent="0.25">
      <c r="B26">
        <v>14</v>
      </c>
      <c r="C26">
        <v>1</v>
      </c>
      <c r="E26">
        <v>13</v>
      </c>
    </row>
    <row r="27" spans="2:9" x14ac:dyDescent="0.25">
      <c r="B27">
        <v>15</v>
      </c>
      <c r="C27">
        <v>1</v>
      </c>
      <c r="E27">
        <v>14</v>
      </c>
    </row>
    <row r="28" spans="2:9" x14ac:dyDescent="0.25">
      <c r="B28">
        <v>16</v>
      </c>
      <c r="C28">
        <v>1</v>
      </c>
      <c r="D28">
        <v>0.5</v>
      </c>
      <c r="E28">
        <v>15</v>
      </c>
      <c r="F28">
        <v>15</v>
      </c>
      <c r="G28">
        <v>15.5</v>
      </c>
      <c r="H28">
        <v>0</v>
      </c>
      <c r="I28">
        <v>1</v>
      </c>
    </row>
    <row r="29" spans="2:9" x14ac:dyDescent="0.25">
      <c r="B29">
        <v>17</v>
      </c>
      <c r="C29">
        <v>1</v>
      </c>
      <c r="E29">
        <v>16</v>
      </c>
    </row>
    <row r="30" spans="2:9" x14ac:dyDescent="0.25">
      <c r="B30">
        <v>18</v>
      </c>
      <c r="C30">
        <v>1</v>
      </c>
      <c r="D30">
        <v>1.5</v>
      </c>
      <c r="E30">
        <v>17</v>
      </c>
      <c r="F30">
        <v>17</v>
      </c>
      <c r="G30">
        <v>18.5</v>
      </c>
      <c r="H30">
        <v>0</v>
      </c>
      <c r="I30">
        <v>1.5</v>
      </c>
    </row>
    <row r="31" spans="2:9" x14ac:dyDescent="0.25">
      <c r="B31">
        <v>19</v>
      </c>
      <c r="C31">
        <v>1</v>
      </c>
      <c r="D31">
        <v>3</v>
      </c>
      <c r="E31">
        <v>18</v>
      </c>
      <c r="F31">
        <v>18.5</v>
      </c>
      <c r="G31">
        <v>21.5</v>
      </c>
      <c r="H31">
        <v>0.5</v>
      </c>
    </row>
    <row r="32" spans="2:9" x14ac:dyDescent="0.25">
      <c r="B32">
        <v>20</v>
      </c>
      <c r="C32">
        <v>1</v>
      </c>
      <c r="E32">
        <v>19</v>
      </c>
      <c r="H32">
        <f>SUM(H13:H31)</f>
        <v>9</v>
      </c>
    </row>
    <row r="33" spans="3:10" x14ac:dyDescent="0.25">
      <c r="H33" s="3">
        <f>H32/10</f>
        <v>0.9</v>
      </c>
      <c r="I33" s="3" t="s">
        <v>34</v>
      </c>
      <c r="J33" s="3"/>
    </row>
    <row r="36" spans="3:10" x14ac:dyDescent="0.25">
      <c r="C36" t="s">
        <v>35</v>
      </c>
    </row>
    <row r="37" spans="3:10" x14ac:dyDescent="0.25">
      <c r="C37" t="s">
        <v>41</v>
      </c>
    </row>
    <row r="39" spans="3:10" x14ac:dyDescent="0.25">
      <c r="C39" t="s">
        <v>37</v>
      </c>
    </row>
    <row r="41" spans="3:10" x14ac:dyDescent="0.25">
      <c r="C41" t="s">
        <v>38</v>
      </c>
      <c r="E41">
        <f>20*24</f>
        <v>480</v>
      </c>
    </row>
    <row r="42" spans="3:10" x14ac:dyDescent="0.25">
      <c r="C42" t="s">
        <v>39</v>
      </c>
      <c r="E42">
        <f>20*6</f>
        <v>120</v>
      </c>
    </row>
    <row r="43" spans="3:10" x14ac:dyDescent="0.25">
      <c r="E43">
        <f>E41-E42</f>
        <v>360</v>
      </c>
      <c r="F43" t="s">
        <v>40</v>
      </c>
    </row>
    <row r="44" spans="3:10" x14ac:dyDescent="0.25">
      <c r="E44">
        <f>E43/24</f>
        <v>15</v>
      </c>
      <c r="F44" t="s">
        <v>43</v>
      </c>
    </row>
    <row r="45" spans="3:10" x14ac:dyDescent="0.25">
      <c r="E45">
        <f>E43/E41</f>
        <v>0.75</v>
      </c>
      <c r="F4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9049-B1F5-4900-B9C8-4C4C3349EA16}">
  <dimension ref="A1:A18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3" spans="1:1" x14ac:dyDescent="0.25">
      <c r="A13" t="s">
        <v>53</v>
      </c>
    </row>
    <row r="14" spans="1:1" x14ac:dyDescent="0.25">
      <c r="A14" t="s">
        <v>57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 3</vt:lpstr>
      <vt:lpstr>Problem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Christopher T CIV USARMY PEO CS CSS (USA)</dc:creator>
  <cp:lastModifiedBy>Jones, Christopher T CIV USARMY PEO CS CSS (USA)</cp:lastModifiedBy>
  <dcterms:created xsi:type="dcterms:W3CDTF">2026-01-14T20:40:52Z</dcterms:created>
  <dcterms:modified xsi:type="dcterms:W3CDTF">2026-01-15T14:05:26Z</dcterms:modified>
</cp:coreProperties>
</file>