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ichaels_Documents/MichaelsDocs/30-39 Career and Education/31 Degree Programs/31.03 NPS SEM PD/06 Q6/SE4420 - Modeling and Simulation in Acquisition/Homework/"/>
    </mc:Choice>
  </mc:AlternateContent>
  <xr:revisionPtr revIDLastSave="0" documentId="13_ncr:1_{D493E007-6013-E64B-AF42-D5243BA99B7B}" xr6:coauthVersionLast="47" xr6:coauthVersionMax="47" xr10:uidLastSave="{00000000-0000-0000-0000-000000000000}"/>
  <bookViews>
    <workbookView xWindow="-36860" yWindow="3320" windowWidth="26820" windowHeight="17180" activeTab="1" xr2:uid="{95753F95-D1AA-6B4C-B20A-B95BF968FC9E}"/>
  </bookViews>
  <sheets>
    <sheet name="See HW1_VirbiaMichael.ipynb" sheetId="3" r:id="rId1"/>
    <sheet name="Problem2" sheetId="1" r:id="rId2"/>
    <sheet name="Problem 3 &amp; 4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8" i="2" l="1"/>
  <c r="C26" i="2"/>
  <c r="H32" i="2"/>
  <c r="H28" i="2"/>
  <c r="H29" i="2"/>
  <c r="H30" i="2"/>
  <c r="H31" i="2"/>
  <c r="H27" i="2"/>
  <c r="G31" i="2"/>
  <c r="G30" i="2"/>
  <c r="G29" i="2"/>
  <c r="G28" i="2"/>
  <c r="G27" i="2"/>
  <c r="C25" i="2"/>
  <c r="G8" i="2"/>
  <c r="I29" i="1"/>
  <c r="I33" i="1"/>
  <c r="I28" i="1"/>
  <c r="G35" i="1"/>
  <c r="I35" i="1" s="1"/>
  <c r="G34" i="1"/>
  <c r="I34" i="1" s="1"/>
  <c r="G33" i="1"/>
  <c r="G32" i="1"/>
  <c r="I32" i="1" s="1"/>
  <c r="G31" i="1"/>
  <c r="I31" i="1" s="1"/>
  <c r="G30" i="1"/>
  <c r="I30" i="1" s="1"/>
  <c r="G29" i="1"/>
  <c r="G28" i="1"/>
  <c r="H21" i="1"/>
  <c r="J21" i="1" s="1"/>
  <c r="H22" i="1"/>
  <c r="J22" i="1" s="1"/>
  <c r="H23" i="1"/>
  <c r="J23" i="1" s="1"/>
  <c r="H24" i="1"/>
  <c r="J24" i="1" s="1"/>
  <c r="H20" i="1"/>
  <c r="J20" i="1" s="1"/>
  <c r="J26" i="1" s="1"/>
  <c r="H16" i="1" s="1"/>
  <c r="H12" i="1"/>
  <c r="H11" i="1"/>
  <c r="M5" i="1"/>
  <c r="K7" i="1"/>
  <c r="I5" i="1"/>
  <c r="L5" i="1" s="1"/>
  <c r="K6" i="1"/>
  <c r="M7" i="1" s="1"/>
  <c r="K5" i="1"/>
  <c r="M6" i="1" s="1"/>
  <c r="K4" i="1"/>
  <c r="J5" i="1"/>
  <c r="I4" i="1"/>
  <c r="H30" i="1"/>
  <c r="I11" i="1"/>
  <c r="H35" i="1"/>
  <c r="H29" i="1"/>
  <c r="H34" i="1"/>
  <c r="I12" i="1"/>
  <c r="H28" i="1"/>
  <c r="I15" i="1"/>
  <c r="I13" i="1"/>
  <c r="K26" i="1"/>
  <c r="H31" i="1"/>
  <c r="H33" i="1"/>
  <c r="I14" i="1"/>
  <c r="I16" i="1"/>
  <c r="H32" i="1"/>
  <c r="H15" i="1" l="1"/>
  <c r="I36" i="1"/>
  <c r="I6" i="1"/>
  <c r="I7" i="1" s="1"/>
  <c r="I8" i="1" s="1"/>
  <c r="I9" i="1" s="1"/>
  <c r="J8" i="1"/>
  <c r="L8" i="1" s="1"/>
  <c r="K8" i="1" l="1"/>
  <c r="J9" i="1"/>
  <c r="K9" i="1" l="1"/>
  <c r="L9" i="1"/>
  <c r="H13" i="1" s="1"/>
  <c r="H14" i="1" s="1"/>
</calcChain>
</file>

<file path=xl/sharedStrings.xml><?xml version="1.0" encoding="utf-8"?>
<sst xmlns="http://schemas.openxmlformats.org/spreadsheetml/2006/main" count="52" uniqueCount="45">
  <si>
    <t>Service Time</t>
  </si>
  <si>
    <t>Helicopter</t>
  </si>
  <si>
    <t>Interval Arrival Time</t>
  </si>
  <si>
    <t>Clock T ime</t>
  </si>
  <si>
    <t>Service Start</t>
  </si>
  <si>
    <t>Service End</t>
  </si>
  <si>
    <t>Wait Time</t>
  </si>
  <si>
    <t>Seviceman Idle Time</t>
  </si>
  <si>
    <t>Queue @ Start</t>
  </si>
  <si>
    <t>Queue @ End</t>
  </si>
  <si>
    <t>Avg. Wait.</t>
  </si>
  <si>
    <t xml:space="preserve">Resource Util. </t>
  </si>
  <si>
    <t>Start</t>
  </si>
  <si>
    <t>End</t>
  </si>
  <si>
    <t>Interval</t>
  </si>
  <si>
    <t>on/off</t>
  </si>
  <si>
    <t>Min. Queue (hr)</t>
  </si>
  <si>
    <t>Max. Queue (hr)</t>
  </si>
  <si>
    <t>Total Queue Time (hr)</t>
  </si>
  <si>
    <t>Toal Idle Time (hr)</t>
  </si>
  <si>
    <t>Ship</t>
  </si>
  <si>
    <t>Interarrival Time</t>
  </si>
  <si>
    <t>Clock Time</t>
  </si>
  <si>
    <t xml:space="preserve">Average Waiting Time is </t>
  </si>
  <si>
    <t>0 - 14</t>
  </si>
  <si>
    <t>14 - 15</t>
  </si>
  <si>
    <t>15 - 15.5</t>
  </si>
  <si>
    <t>15.5 - 17</t>
  </si>
  <si>
    <t>17 - 21.5</t>
  </si>
  <si>
    <t>20 Day Resource utilization</t>
  </si>
  <si>
    <t>0-2.5</t>
  </si>
  <si>
    <t>2.5-5</t>
  </si>
  <si>
    <t>4 to 7</t>
  </si>
  <si>
    <t>7 to 9</t>
  </si>
  <si>
    <t>9 to 12</t>
  </si>
  <si>
    <t>12 to 14</t>
  </si>
  <si>
    <t xml:space="preserve">14 to 15 </t>
  </si>
  <si>
    <t>15-15.5</t>
  </si>
  <si>
    <t>15.5 to 17</t>
  </si>
  <si>
    <t xml:space="preserve">17 to 18.5 </t>
  </si>
  <si>
    <t>18.5 - 20</t>
  </si>
  <si>
    <t>B(t)</t>
  </si>
  <si>
    <t>Question #3</t>
  </si>
  <si>
    <t>Question #4</t>
  </si>
  <si>
    <t>C. It will decrease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</si>
</sst>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64" fontId="0" fillId="0" borderId="0" xfId="1" applyNumberFormat="1" applyFont="1"/>
    <xf numFmtId="0" fontId="2" fillId="0" borderId="0" xfId="0" applyFont="1"/>
    <xf numFmtId="0" fontId="2" fillId="0" borderId="0" xfId="0" applyFont="1" applyAlignment="1">
      <alignment wrapText="1"/>
    </xf>
    <xf numFmtId="2" fontId="0" fillId="0" borderId="0" xfId="0" applyNumberFormat="1"/>
    <xf numFmtId="0" fontId="0" fillId="2" borderId="1" xfId="0" applyFill="1" applyBorder="1"/>
    <xf numFmtId="164" fontId="0" fillId="2" borderId="1" xfId="1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2" borderId="0" xfId="0" applyFill="1"/>
    <xf numFmtId="165" fontId="0" fillId="2" borderId="0" xfId="0" applyNumberFormat="1" applyFill="1"/>
    <xf numFmtId="10" fontId="0" fillId="2" borderId="0" xfId="1" applyNumberFormat="1" applyFont="1" applyFill="1"/>
    <xf numFmtId="16" fontId="0" fillId="0" borderId="0" xfId="0" applyNumberFormat="1"/>
    <xf numFmtId="0" fontId="0" fillId="0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2CF6A-5E25-214D-81CF-65D089B8FE44}">
  <dimension ref="A1"/>
  <sheetViews>
    <sheetView workbookViewId="0">
      <selection activeCell="F37" sqref="F37"/>
    </sheetView>
  </sheetViews>
  <sheetFormatPr baseColWidth="10" defaultRowHeight="16" x14ac:dyDescent="0.2"/>
  <cols>
    <col min="1" max="1" width="28.164062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2FE3F-E274-C245-8377-58E40ECA05FD}">
  <dimension ref="A3:O36"/>
  <sheetViews>
    <sheetView tabSelected="1" topLeftCell="B3" workbookViewId="0">
      <selection activeCell="J26" sqref="J26"/>
    </sheetView>
  </sheetViews>
  <sheetFormatPr baseColWidth="10" defaultRowHeight="16" x14ac:dyDescent="0.2"/>
  <cols>
    <col min="1" max="1" width="11.33203125" bestFit="1" customWidth="1"/>
    <col min="6" max="6" width="12.1640625" bestFit="1" customWidth="1"/>
    <col min="7" max="7" width="18.5" bestFit="1" customWidth="1"/>
    <col min="8" max="8" width="14.6640625" bestFit="1" customWidth="1"/>
    <col min="9" max="9" width="12.6640625" bestFit="1" customWidth="1"/>
    <col min="10" max="10" width="11.5" bestFit="1" customWidth="1"/>
    <col min="11" max="11" width="17.1640625" bestFit="1" customWidth="1"/>
  </cols>
  <sheetData>
    <row r="3" spans="1:15" ht="51" x14ac:dyDescent="0.2">
      <c r="A3" s="1" t="s">
        <v>2</v>
      </c>
      <c r="B3" t="s">
        <v>0</v>
      </c>
      <c r="F3" s="4" t="s">
        <v>1</v>
      </c>
      <c r="G3" s="5" t="s">
        <v>2</v>
      </c>
      <c r="H3" s="4" t="s">
        <v>0</v>
      </c>
      <c r="I3" s="4" t="s">
        <v>3</v>
      </c>
      <c r="J3" s="4" t="s">
        <v>4</v>
      </c>
      <c r="K3" s="4" t="s">
        <v>5</v>
      </c>
      <c r="L3" s="4" t="s">
        <v>6</v>
      </c>
      <c r="M3" s="5" t="s">
        <v>7</v>
      </c>
      <c r="N3" s="5" t="s">
        <v>8</v>
      </c>
      <c r="O3" s="5" t="s">
        <v>9</v>
      </c>
    </row>
    <row r="4" spans="1:15" x14ac:dyDescent="0.2">
      <c r="A4">
        <v>0</v>
      </c>
      <c r="B4">
        <v>2.2000000000000002</v>
      </c>
      <c r="F4" s="2">
        <v>1</v>
      </c>
      <c r="G4" s="2">
        <v>0</v>
      </c>
      <c r="H4" s="2">
        <v>2.2000000000000002</v>
      </c>
      <c r="I4" s="2">
        <f>G4</f>
        <v>0</v>
      </c>
      <c r="J4" s="2">
        <v>0</v>
      </c>
      <c r="K4" s="2">
        <f>H4</f>
        <v>2.2000000000000002</v>
      </c>
      <c r="L4" s="2">
        <v>0</v>
      </c>
      <c r="M4" s="2">
        <v>0</v>
      </c>
      <c r="N4" s="2">
        <v>0</v>
      </c>
      <c r="O4" s="2">
        <v>1</v>
      </c>
    </row>
    <row r="5" spans="1:15" x14ac:dyDescent="0.2">
      <c r="A5">
        <v>1.4</v>
      </c>
      <c r="B5">
        <v>1.2</v>
      </c>
      <c r="F5" s="2">
        <v>2</v>
      </c>
      <c r="G5" s="2">
        <v>1.4</v>
      </c>
      <c r="H5" s="2">
        <v>1.2</v>
      </c>
      <c r="I5" s="2">
        <f>I4+G5</f>
        <v>1.4</v>
      </c>
      <c r="J5" s="2">
        <f>H4</f>
        <v>2.2000000000000002</v>
      </c>
      <c r="K5" s="2">
        <f>J5+H5</f>
        <v>3.4000000000000004</v>
      </c>
      <c r="L5" s="2">
        <f>J5-I5</f>
        <v>0.80000000000000027</v>
      </c>
      <c r="M5" s="2">
        <f>J5-K4</f>
        <v>0</v>
      </c>
      <c r="N5" s="2">
        <v>0</v>
      </c>
      <c r="O5" s="2">
        <v>0</v>
      </c>
    </row>
    <row r="6" spans="1:15" x14ac:dyDescent="0.2">
      <c r="A6">
        <v>2.1</v>
      </c>
      <c r="B6">
        <v>0.3</v>
      </c>
      <c r="F6" s="2">
        <v>3</v>
      </c>
      <c r="G6" s="2">
        <v>2.1</v>
      </c>
      <c r="H6" s="2">
        <v>0.3</v>
      </c>
      <c r="I6" s="2">
        <f>I5+G6</f>
        <v>3.5</v>
      </c>
      <c r="J6" s="2">
        <v>3.5</v>
      </c>
      <c r="K6" s="2">
        <f t="shared" ref="K6:K8" si="0">J6+H6</f>
        <v>3.8</v>
      </c>
      <c r="L6" s="2">
        <v>0</v>
      </c>
      <c r="M6" s="2">
        <f>J6-K5</f>
        <v>9.9999999999999645E-2</v>
      </c>
      <c r="N6" s="2">
        <v>0</v>
      </c>
      <c r="O6" s="2">
        <v>0</v>
      </c>
    </row>
    <row r="7" spans="1:15" x14ac:dyDescent="0.2">
      <c r="A7">
        <v>1.9</v>
      </c>
      <c r="B7">
        <v>2.8</v>
      </c>
      <c r="F7" s="2">
        <v>4</v>
      </c>
      <c r="G7" s="2">
        <v>1.9</v>
      </c>
      <c r="H7" s="2">
        <v>2.8</v>
      </c>
      <c r="I7" s="2">
        <f>I6+G7</f>
        <v>5.4</v>
      </c>
      <c r="J7" s="2">
        <v>5.4</v>
      </c>
      <c r="K7" s="2">
        <f t="shared" si="0"/>
        <v>8.1999999999999993</v>
      </c>
      <c r="L7" s="2">
        <v>0</v>
      </c>
      <c r="M7" s="2">
        <f>J7-K6</f>
        <v>1.6000000000000005</v>
      </c>
      <c r="N7" s="2">
        <v>0</v>
      </c>
      <c r="O7" s="2">
        <v>2</v>
      </c>
    </row>
    <row r="8" spans="1:15" x14ac:dyDescent="0.2">
      <c r="A8">
        <v>0.2</v>
      </c>
      <c r="B8">
        <v>0.2</v>
      </c>
      <c r="F8" s="2">
        <v>5</v>
      </c>
      <c r="G8" s="2">
        <v>0.2</v>
      </c>
      <c r="H8" s="2">
        <v>0.2</v>
      </c>
      <c r="I8" s="2">
        <f>I7+G8</f>
        <v>5.6000000000000005</v>
      </c>
      <c r="J8" s="2">
        <f>J7+H7</f>
        <v>8.1999999999999993</v>
      </c>
      <c r="K8" s="2">
        <f t="shared" si="0"/>
        <v>8.3999999999999986</v>
      </c>
      <c r="L8" s="2">
        <f>J8-I8</f>
        <v>2.5999999999999988</v>
      </c>
      <c r="M8" s="2">
        <v>0</v>
      </c>
      <c r="N8" s="2">
        <v>1</v>
      </c>
      <c r="O8" s="2">
        <v>1</v>
      </c>
    </row>
    <row r="9" spans="1:15" x14ac:dyDescent="0.2">
      <c r="A9">
        <v>1.5</v>
      </c>
      <c r="B9">
        <v>1.8</v>
      </c>
      <c r="F9" s="2">
        <v>6</v>
      </c>
      <c r="G9" s="2">
        <v>1.5</v>
      </c>
      <c r="H9" s="2">
        <v>1.8</v>
      </c>
      <c r="I9" s="2">
        <f>I8+G9</f>
        <v>7.1000000000000005</v>
      </c>
      <c r="J9" s="2">
        <f>J8+H8</f>
        <v>8.3999999999999986</v>
      </c>
      <c r="K9" s="2">
        <f>J9+H9</f>
        <v>10.199999999999999</v>
      </c>
      <c r="L9" s="2">
        <f>J9-I9</f>
        <v>1.299999999999998</v>
      </c>
      <c r="M9" s="2">
        <v>0</v>
      </c>
      <c r="N9" s="2">
        <v>0</v>
      </c>
      <c r="O9" s="2">
        <v>0</v>
      </c>
    </row>
    <row r="11" spans="1:15" x14ac:dyDescent="0.2">
      <c r="G11" s="7" t="s">
        <v>16</v>
      </c>
      <c r="H11" s="9">
        <f>MIN(N4:O9)</f>
        <v>0</v>
      </c>
      <c r="I11" s="7" t="str">
        <f t="shared" ref="I11:I16" ca="1" si="1">_xlfn.FORMULATEXT(H11)</f>
        <v>=MIN(N4:O9)</v>
      </c>
    </row>
    <row r="12" spans="1:15" x14ac:dyDescent="0.2">
      <c r="G12" s="7" t="s">
        <v>17</v>
      </c>
      <c r="H12" s="9">
        <f>MAX(N4:O9)</f>
        <v>2</v>
      </c>
      <c r="I12" s="7" t="str">
        <f t="shared" ca="1" si="1"/>
        <v>=MAX(N4:O9)</v>
      </c>
    </row>
    <row r="13" spans="1:15" x14ac:dyDescent="0.2">
      <c r="G13" s="7" t="s">
        <v>18</v>
      </c>
      <c r="H13" s="9">
        <f>SUM(L4:L9)</f>
        <v>4.6999999999999975</v>
      </c>
      <c r="I13" s="7" t="str">
        <f t="shared" ca="1" si="1"/>
        <v>=SUM(L4:L9)</v>
      </c>
    </row>
    <row r="14" spans="1:15" x14ac:dyDescent="0.2">
      <c r="G14" s="7" t="s">
        <v>10</v>
      </c>
      <c r="H14" s="10">
        <f>H13/6</f>
        <v>0.78333333333333288</v>
      </c>
      <c r="I14" s="7" t="str">
        <f t="shared" ca="1" si="1"/>
        <v>=H13/6</v>
      </c>
    </row>
    <row r="15" spans="1:15" x14ac:dyDescent="0.2">
      <c r="G15" s="7" t="s">
        <v>19</v>
      </c>
      <c r="H15" s="9">
        <f>SUM(M4:M9)</f>
        <v>1.7000000000000002</v>
      </c>
      <c r="I15" s="7" t="str">
        <f t="shared" ca="1" si="1"/>
        <v>=SUM(M4:M9)</v>
      </c>
    </row>
    <row r="16" spans="1:15" x14ac:dyDescent="0.2">
      <c r="G16" s="7" t="s">
        <v>11</v>
      </c>
      <c r="H16" s="8">
        <f>J26</f>
        <v>0.70422535211267612</v>
      </c>
      <c r="I16" s="7" t="str">
        <f t="shared" ca="1" si="1"/>
        <v>=J26</v>
      </c>
    </row>
    <row r="19" spans="6:11" x14ac:dyDescent="0.2">
      <c r="F19" t="s">
        <v>12</v>
      </c>
      <c r="G19" t="s">
        <v>13</v>
      </c>
      <c r="H19" t="s">
        <v>14</v>
      </c>
      <c r="I19" t="s">
        <v>15</v>
      </c>
    </row>
    <row r="20" spans="6:11" x14ac:dyDescent="0.2">
      <c r="F20">
        <v>0</v>
      </c>
      <c r="G20">
        <v>1.4</v>
      </c>
      <c r="H20">
        <f>G20-F20</f>
        <v>1.4</v>
      </c>
      <c r="I20">
        <v>1</v>
      </c>
      <c r="J20">
        <f>PRODUCT(H20:I20)</f>
        <v>1.4</v>
      </c>
    </row>
    <row r="21" spans="6:11" x14ac:dyDescent="0.2">
      <c r="F21">
        <v>1.4</v>
      </c>
      <c r="G21">
        <v>3.5</v>
      </c>
      <c r="H21">
        <f t="shared" ref="H21:H24" si="2">G21-F21</f>
        <v>2.1</v>
      </c>
      <c r="I21">
        <v>1</v>
      </c>
      <c r="J21">
        <f t="shared" ref="J21:J24" si="3">PRODUCT(H21:I21)</f>
        <v>2.1</v>
      </c>
    </row>
    <row r="22" spans="6:11" x14ac:dyDescent="0.2">
      <c r="F22">
        <v>3.5</v>
      </c>
      <c r="G22">
        <v>5.4</v>
      </c>
      <c r="H22">
        <f t="shared" si="2"/>
        <v>1.9000000000000004</v>
      </c>
      <c r="I22">
        <v>0</v>
      </c>
      <c r="J22">
        <f t="shared" si="3"/>
        <v>0</v>
      </c>
    </row>
    <row r="23" spans="6:11" x14ac:dyDescent="0.2">
      <c r="F23">
        <v>5.4</v>
      </c>
      <c r="G23">
        <v>5.6</v>
      </c>
      <c r="H23">
        <f t="shared" si="2"/>
        <v>0.19999999999999929</v>
      </c>
      <c r="I23">
        <v>0</v>
      </c>
      <c r="J23">
        <f t="shared" si="3"/>
        <v>0</v>
      </c>
    </row>
    <row r="24" spans="6:11" x14ac:dyDescent="0.2">
      <c r="F24">
        <v>5.6</v>
      </c>
      <c r="G24">
        <v>7.1</v>
      </c>
      <c r="H24">
        <f t="shared" si="2"/>
        <v>1.5</v>
      </c>
      <c r="I24">
        <v>1</v>
      </c>
      <c r="J24">
        <f t="shared" si="3"/>
        <v>1.5</v>
      </c>
    </row>
    <row r="26" spans="6:11" x14ac:dyDescent="0.2">
      <c r="J26" s="3">
        <f>SUM(J20:J24)/G24</f>
        <v>0.70422535211267612</v>
      </c>
      <c r="K26" t="str">
        <f ca="1">_xlfn.FORMULATEXT(J26)</f>
        <v>=SUM(J20:J24)/G24</v>
      </c>
    </row>
    <row r="28" spans="6:11" x14ac:dyDescent="0.2">
      <c r="F28">
        <v>0</v>
      </c>
      <c r="G28">
        <f>1.4-0</f>
        <v>1.4</v>
      </c>
      <c r="H28" t="str">
        <f ca="1">_xlfn.FORMULATEXT(G28)</f>
        <v>=1.4-0</v>
      </c>
      <c r="I28">
        <f>PRODUCT(F28:G28)</f>
        <v>0</v>
      </c>
    </row>
    <row r="29" spans="6:11" x14ac:dyDescent="0.2">
      <c r="F29">
        <v>1</v>
      </c>
      <c r="G29">
        <f>2.2-1.4</f>
        <v>0.80000000000000027</v>
      </c>
      <c r="H29" t="str">
        <f t="shared" ref="H29:H35" ca="1" si="4">_xlfn.FORMULATEXT(G29)</f>
        <v>=2.2-1.4</v>
      </c>
      <c r="I29">
        <f t="shared" ref="I29:I35" si="5">PRODUCT(F29:G29)</f>
        <v>0.80000000000000027</v>
      </c>
    </row>
    <row r="30" spans="6:11" x14ac:dyDescent="0.2">
      <c r="F30">
        <v>0</v>
      </c>
      <c r="G30">
        <f>5.4-2.2</f>
        <v>3.2</v>
      </c>
      <c r="H30" t="str">
        <f t="shared" ca="1" si="4"/>
        <v>=5.4-2.2</v>
      </c>
      <c r="I30">
        <f t="shared" si="5"/>
        <v>0</v>
      </c>
    </row>
    <row r="31" spans="6:11" x14ac:dyDescent="0.2">
      <c r="F31">
        <v>0</v>
      </c>
      <c r="G31">
        <f>5.6-5.4</f>
        <v>0.19999999999999929</v>
      </c>
      <c r="H31" t="str">
        <f t="shared" ca="1" si="4"/>
        <v>=5.6-5.4</v>
      </c>
      <c r="I31">
        <f t="shared" si="5"/>
        <v>0</v>
      </c>
    </row>
    <row r="32" spans="6:11" x14ac:dyDescent="0.2">
      <c r="F32">
        <v>1</v>
      </c>
      <c r="G32">
        <f>7.1-5.6</f>
        <v>1.5</v>
      </c>
      <c r="H32" t="str">
        <f t="shared" ca="1" si="4"/>
        <v>=7.1-5.6</v>
      </c>
      <c r="I32">
        <f t="shared" si="5"/>
        <v>1.5</v>
      </c>
    </row>
    <row r="33" spans="6:9" x14ac:dyDescent="0.2">
      <c r="F33">
        <v>2</v>
      </c>
      <c r="G33">
        <f>8.2-7.1</f>
        <v>1.0999999999999996</v>
      </c>
      <c r="H33" t="str">
        <f t="shared" ca="1" si="4"/>
        <v>=8.2-7.1</v>
      </c>
      <c r="I33">
        <f t="shared" si="5"/>
        <v>2.1999999999999993</v>
      </c>
    </row>
    <row r="34" spans="6:9" x14ac:dyDescent="0.2">
      <c r="F34">
        <v>1</v>
      </c>
      <c r="G34">
        <f>8.4-8.2</f>
        <v>0.20000000000000107</v>
      </c>
      <c r="H34" t="str">
        <f t="shared" ca="1" si="4"/>
        <v>=8.4-8.2</v>
      </c>
      <c r="I34">
        <f t="shared" si="5"/>
        <v>0.20000000000000107</v>
      </c>
    </row>
    <row r="35" spans="6:9" x14ac:dyDescent="0.2">
      <c r="F35">
        <v>0</v>
      </c>
      <c r="G35">
        <f>10.2-8.4</f>
        <v>1.7999999999999989</v>
      </c>
      <c r="H35" t="str">
        <f t="shared" ca="1" si="4"/>
        <v>=10.2-8.4</v>
      </c>
      <c r="I35">
        <f t="shared" si="5"/>
        <v>0</v>
      </c>
    </row>
    <row r="36" spans="6:9" x14ac:dyDescent="0.2">
      <c r="I36" s="6">
        <f>SUM(I28:I35)/6</f>
        <v>0.78333333333333355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CA61A-A400-544C-81F8-32144CB289B3}">
  <dimension ref="A2:N39"/>
  <sheetViews>
    <sheetView topLeftCell="A3" workbookViewId="0">
      <selection activeCell="Q32" sqref="Q32"/>
    </sheetView>
  </sheetViews>
  <sheetFormatPr baseColWidth="10" defaultRowHeight="16" x14ac:dyDescent="0.2"/>
  <cols>
    <col min="2" max="2" width="14.33203125" bestFit="1" customWidth="1"/>
    <col min="3" max="3" width="11.6640625" bestFit="1" customWidth="1"/>
    <col min="13" max="13" width="15.5" bestFit="1" customWidth="1"/>
  </cols>
  <sheetData>
    <row r="2" spans="1:10" x14ac:dyDescent="0.2">
      <c r="A2" t="s">
        <v>20</v>
      </c>
      <c r="B2" t="s">
        <v>21</v>
      </c>
      <c r="C2" t="s">
        <v>0</v>
      </c>
      <c r="D2" t="s">
        <v>22</v>
      </c>
      <c r="E2" t="s">
        <v>4</v>
      </c>
      <c r="F2" t="s">
        <v>5</v>
      </c>
      <c r="G2" t="s">
        <v>6</v>
      </c>
      <c r="H2" s="5"/>
      <c r="I2" s="5"/>
      <c r="J2" s="5"/>
    </row>
    <row r="3" spans="1:10" x14ac:dyDescent="0.2">
      <c r="A3">
        <v>1</v>
      </c>
      <c r="B3">
        <v>0</v>
      </c>
      <c r="C3">
        <v>2.5</v>
      </c>
      <c r="D3">
        <v>0</v>
      </c>
      <c r="E3">
        <v>0</v>
      </c>
      <c r="F3">
        <v>2.5</v>
      </c>
      <c r="G3">
        <v>0</v>
      </c>
      <c r="H3" s="2"/>
      <c r="I3" s="2"/>
      <c r="J3" s="2"/>
    </row>
    <row r="4" spans="1:10" x14ac:dyDescent="0.2">
      <c r="A4">
        <v>2</v>
      </c>
      <c r="B4">
        <v>1</v>
      </c>
      <c r="D4">
        <v>1</v>
      </c>
      <c r="H4" s="2"/>
      <c r="I4" s="2"/>
      <c r="J4" s="2"/>
    </row>
    <row r="5" spans="1:10" x14ac:dyDescent="0.2">
      <c r="A5">
        <v>3</v>
      </c>
      <c r="B5">
        <v>1</v>
      </c>
      <c r="C5">
        <v>2</v>
      </c>
      <c r="D5">
        <v>2</v>
      </c>
      <c r="E5">
        <v>2.5</v>
      </c>
      <c r="F5">
        <v>4.5</v>
      </c>
      <c r="G5">
        <v>0.5</v>
      </c>
      <c r="H5" s="2"/>
      <c r="I5" s="2"/>
      <c r="J5" s="2"/>
    </row>
    <row r="6" spans="1:10" x14ac:dyDescent="0.2">
      <c r="A6">
        <v>4</v>
      </c>
      <c r="B6">
        <v>1</v>
      </c>
      <c r="D6">
        <v>3</v>
      </c>
      <c r="H6" s="2"/>
      <c r="I6" s="2"/>
      <c r="J6" s="2"/>
    </row>
    <row r="7" spans="1:10" x14ac:dyDescent="0.2">
      <c r="A7">
        <v>5</v>
      </c>
      <c r="B7">
        <v>1</v>
      </c>
      <c r="C7">
        <v>3</v>
      </c>
      <c r="D7">
        <v>4</v>
      </c>
      <c r="E7">
        <v>4.5</v>
      </c>
      <c r="F7">
        <v>7.5</v>
      </c>
      <c r="G7">
        <v>0.5</v>
      </c>
      <c r="H7" s="2"/>
      <c r="I7" s="2"/>
      <c r="J7" s="2"/>
    </row>
    <row r="8" spans="1:10" x14ac:dyDescent="0.2">
      <c r="A8">
        <v>6</v>
      </c>
      <c r="B8">
        <v>1</v>
      </c>
      <c r="C8">
        <v>1.5</v>
      </c>
      <c r="D8">
        <v>5</v>
      </c>
      <c r="E8">
        <v>7.5</v>
      </c>
      <c r="F8">
        <v>9</v>
      </c>
      <c r="G8">
        <f>F7-D8</f>
        <v>2.5</v>
      </c>
      <c r="H8" s="2"/>
      <c r="I8" s="2"/>
      <c r="J8" s="2"/>
    </row>
    <row r="9" spans="1:10" x14ac:dyDescent="0.2">
      <c r="A9">
        <v>7</v>
      </c>
      <c r="B9">
        <v>1</v>
      </c>
      <c r="D9">
        <v>6</v>
      </c>
    </row>
    <row r="10" spans="1:10" x14ac:dyDescent="0.2">
      <c r="A10">
        <v>8</v>
      </c>
      <c r="B10">
        <v>1</v>
      </c>
      <c r="C10">
        <v>2</v>
      </c>
      <c r="D10">
        <v>7</v>
      </c>
      <c r="E10">
        <v>9</v>
      </c>
      <c r="F10">
        <v>11</v>
      </c>
      <c r="G10">
        <v>2</v>
      </c>
    </row>
    <row r="11" spans="1:10" x14ac:dyDescent="0.2">
      <c r="A11">
        <v>9</v>
      </c>
      <c r="B11">
        <v>1</v>
      </c>
      <c r="C11">
        <v>1</v>
      </c>
      <c r="D11">
        <v>8</v>
      </c>
      <c r="E11">
        <v>11</v>
      </c>
      <c r="F11">
        <v>12</v>
      </c>
      <c r="G11">
        <v>3</v>
      </c>
    </row>
    <row r="12" spans="1:10" x14ac:dyDescent="0.2">
      <c r="A12">
        <v>10</v>
      </c>
      <c r="B12">
        <v>1</v>
      </c>
      <c r="D12">
        <v>9</v>
      </c>
    </row>
    <row r="13" spans="1:10" x14ac:dyDescent="0.2">
      <c r="A13">
        <v>11</v>
      </c>
      <c r="B13">
        <v>1</v>
      </c>
      <c r="D13">
        <v>10</v>
      </c>
    </row>
    <row r="14" spans="1:10" x14ac:dyDescent="0.2">
      <c r="A14">
        <v>12</v>
      </c>
      <c r="B14">
        <v>1</v>
      </c>
      <c r="D14">
        <v>11</v>
      </c>
    </row>
    <row r="15" spans="1:10" x14ac:dyDescent="0.2">
      <c r="A15">
        <v>13</v>
      </c>
      <c r="B15">
        <v>1</v>
      </c>
      <c r="C15">
        <v>2</v>
      </c>
      <c r="D15">
        <v>12</v>
      </c>
      <c r="E15">
        <v>12</v>
      </c>
      <c r="F15">
        <v>14</v>
      </c>
      <c r="G15">
        <v>0</v>
      </c>
    </row>
    <row r="16" spans="1:10" x14ac:dyDescent="0.2">
      <c r="A16">
        <v>14</v>
      </c>
      <c r="B16">
        <v>1</v>
      </c>
      <c r="D16">
        <v>13</v>
      </c>
    </row>
    <row r="17" spans="1:12" x14ac:dyDescent="0.2">
      <c r="A17">
        <v>15</v>
      </c>
      <c r="B17">
        <v>1</v>
      </c>
      <c r="D17">
        <v>14</v>
      </c>
    </row>
    <row r="18" spans="1:12" x14ac:dyDescent="0.2">
      <c r="A18">
        <v>16</v>
      </c>
      <c r="B18">
        <v>1</v>
      </c>
      <c r="C18">
        <v>0.5</v>
      </c>
      <c r="D18">
        <v>15</v>
      </c>
      <c r="E18">
        <v>15</v>
      </c>
      <c r="F18">
        <v>15.5</v>
      </c>
      <c r="G18">
        <v>0</v>
      </c>
    </row>
    <row r="19" spans="1:12" x14ac:dyDescent="0.2">
      <c r="A19">
        <v>17</v>
      </c>
      <c r="B19">
        <v>1</v>
      </c>
      <c r="D19">
        <v>16</v>
      </c>
    </row>
    <row r="20" spans="1:12" x14ac:dyDescent="0.2">
      <c r="A20">
        <v>18</v>
      </c>
      <c r="B20">
        <v>1</v>
      </c>
      <c r="C20">
        <v>1.5</v>
      </c>
      <c r="D20">
        <v>17</v>
      </c>
      <c r="E20">
        <v>17</v>
      </c>
      <c r="F20">
        <v>18.5</v>
      </c>
      <c r="G20">
        <v>0</v>
      </c>
    </row>
    <row r="21" spans="1:12" x14ac:dyDescent="0.2">
      <c r="A21">
        <v>19</v>
      </c>
      <c r="B21">
        <v>1</v>
      </c>
      <c r="C21">
        <v>3</v>
      </c>
      <c r="D21">
        <v>18</v>
      </c>
      <c r="E21">
        <v>18.5</v>
      </c>
      <c r="F21">
        <v>21.5</v>
      </c>
      <c r="G21">
        <v>0.5</v>
      </c>
    </row>
    <row r="22" spans="1:12" x14ac:dyDescent="0.2">
      <c r="A22">
        <v>20</v>
      </c>
      <c r="B22">
        <v>1</v>
      </c>
      <c r="D22">
        <v>19</v>
      </c>
    </row>
    <row r="24" spans="1:12" x14ac:dyDescent="0.2">
      <c r="A24" t="s">
        <v>42</v>
      </c>
    </row>
    <row r="25" spans="1:12" x14ac:dyDescent="0.2">
      <c r="A25" s="11" t="s">
        <v>23</v>
      </c>
      <c r="B25" s="11"/>
      <c r="C25" s="12">
        <f>AVERAGE(G3:G21)</f>
        <v>0.9</v>
      </c>
    </row>
    <row r="26" spans="1:12" x14ac:dyDescent="0.2">
      <c r="A26" s="11" t="s">
        <v>29</v>
      </c>
      <c r="B26" s="11"/>
      <c r="C26" s="13">
        <f>H32</f>
        <v>0.88372093023255816</v>
      </c>
      <c r="J26" t="s">
        <v>22</v>
      </c>
      <c r="K26" t="s">
        <v>41</v>
      </c>
    </row>
    <row r="27" spans="1:12" x14ac:dyDescent="0.2">
      <c r="E27" t="s">
        <v>24</v>
      </c>
      <c r="F27">
        <v>1</v>
      </c>
      <c r="G27">
        <f>14-0</f>
        <v>14</v>
      </c>
      <c r="H27">
        <f>PRODUCT(F27:G27)</f>
        <v>14</v>
      </c>
      <c r="J27" t="s">
        <v>30</v>
      </c>
      <c r="K27">
        <v>1</v>
      </c>
      <c r="L27">
        <v>2.5</v>
      </c>
    </row>
    <row r="28" spans="1:12" x14ac:dyDescent="0.2">
      <c r="E28" t="s">
        <v>25</v>
      </c>
      <c r="F28">
        <v>0</v>
      </c>
      <c r="G28">
        <f>15-14</f>
        <v>1</v>
      </c>
      <c r="H28">
        <f t="shared" ref="H28:H31" si="0">PRODUCT(F28:G28)</f>
        <v>0</v>
      </c>
      <c r="J28" t="s">
        <v>31</v>
      </c>
      <c r="K28">
        <v>0</v>
      </c>
    </row>
    <row r="29" spans="1:12" x14ac:dyDescent="0.2">
      <c r="E29" t="s">
        <v>26</v>
      </c>
      <c r="F29">
        <v>1</v>
      </c>
      <c r="G29">
        <f>15.5-15</f>
        <v>0.5</v>
      </c>
      <c r="H29">
        <f t="shared" si="0"/>
        <v>0.5</v>
      </c>
      <c r="J29" s="14" t="s">
        <v>32</v>
      </c>
      <c r="K29">
        <v>1</v>
      </c>
      <c r="L29">
        <v>3</v>
      </c>
    </row>
    <row r="30" spans="1:12" x14ac:dyDescent="0.2">
      <c r="E30" t="s">
        <v>27</v>
      </c>
      <c r="F30">
        <v>0</v>
      </c>
      <c r="G30">
        <f>17-15.5</f>
        <v>1.5</v>
      </c>
      <c r="H30">
        <f t="shared" si="0"/>
        <v>0</v>
      </c>
      <c r="J30" s="14" t="s">
        <v>33</v>
      </c>
      <c r="K30">
        <v>1</v>
      </c>
      <c r="L30">
        <v>2</v>
      </c>
    </row>
    <row r="31" spans="1:12" x14ac:dyDescent="0.2">
      <c r="E31" t="s">
        <v>28</v>
      </c>
      <c r="F31">
        <v>1</v>
      </c>
      <c r="G31">
        <f>21.5-17</f>
        <v>4.5</v>
      </c>
      <c r="H31">
        <f t="shared" si="0"/>
        <v>4.5</v>
      </c>
      <c r="J31" t="s">
        <v>34</v>
      </c>
      <c r="K31">
        <v>0</v>
      </c>
    </row>
    <row r="32" spans="1:12" x14ac:dyDescent="0.2">
      <c r="H32">
        <f>SUM(H27:H31)/21.5</f>
        <v>0.88372093023255816</v>
      </c>
      <c r="J32" t="s">
        <v>35</v>
      </c>
      <c r="K32">
        <v>1</v>
      </c>
      <c r="L32">
        <v>2</v>
      </c>
    </row>
    <row r="33" spans="10:14" x14ac:dyDescent="0.2">
      <c r="J33" t="s">
        <v>36</v>
      </c>
      <c r="K33">
        <v>0</v>
      </c>
    </row>
    <row r="34" spans="10:14" x14ac:dyDescent="0.2">
      <c r="J34" t="s">
        <v>37</v>
      </c>
      <c r="K34">
        <v>1</v>
      </c>
      <c r="L34">
        <v>0.5</v>
      </c>
    </row>
    <row r="35" spans="10:14" x14ac:dyDescent="0.2">
      <c r="J35" t="s">
        <v>38</v>
      </c>
      <c r="K35">
        <v>0</v>
      </c>
    </row>
    <row r="36" spans="10:14" x14ac:dyDescent="0.2">
      <c r="J36" t="s">
        <v>39</v>
      </c>
      <c r="K36">
        <v>1</v>
      </c>
      <c r="L36">
        <v>1.5</v>
      </c>
    </row>
    <row r="37" spans="10:14" x14ac:dyDescent="0.2">
      <c r="J37" t="s">
        <v>40</v>
      </c>
      <c r="K37">
        <v>0</v>
      </c>
    </row>
    <row r="38" spans="10:14" x14ac:dyDescent="0.2">
      <c r="L38" s="3">
        <f>SUM(L27:L37)/20</f>
        <v>0.57499999999999996</v>
      </c>
      <c r="M38" t="s">
        <v>43</v>
      </c>
    </row>
    <row r="39" spans="10:14" x14ac:dyDescent="0.2">
      <c r="M39" s="11" t="s">
        <v>44</v>
      </c>
      <c r="N39" s="15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See HW1_VirbiaMichael.ipynb</vt:lpstr>
      <vt:lpstr>Problem2</vt:lpstr>
      <vt:lpstr>Problem 3 &amp;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Virbia, Michael R CIV USN NSWC PHE DIV PHE CA (USA)</dc:creator>
  <cp:lastModifiedBy>Virbia, Michael R CIV USN NSWC PHE DIV PHE CA (USA)</cp:lastModifiedBy>
  <dcterms:created xsi:type="dcterms:W3CDTF">2026-01-11T21:16:04Z</dcterms:created>
  <dcterms:modified xsi:type="dcterms:W3CDTF">2026-01-14T04:15:19Z</dcterms:modified>
</cp:coreProperties>
</file>