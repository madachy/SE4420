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nps01-my.sharepoint.com/personal/benjamin_watzak_nps_edu/Documents/SE4420/Module 1 Course Introduction/"/>
    </mc:Choice>
  </mc:AlternateContent>
  <xr:revisionPtr revIDLastSave="184" documentId="13_ncr:1_{7A591BBC-58B8-4A1A-B23E-50CBA0E7A0B0}" xr6:coauthVersionLast="47" xr6:coauthVersionMax="47" xr10:uidLastSave="{DB7144CE-9A66-4D21-8AFD-431D9CA87390}"/>
  <bookViews>
    <workbookView xWindow="-110" yWindow="-110" windowWidth="22620" windowHeight="13500" xr2:uid="{5181ACC1-9D9B-4F47-BCC8-49E6D1C48B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6" i="1" l="1"/>
  <c r="C85" i="1"/>
  <c r="C81" i="1"/>
  <c r="K72" i="1"/>
  <c r="K73" i="1"/>
  <c r="K74" i="1"/>
  <c r="K75" i="1"/>
  <c r="K76" i="1"/>
  <c r="K77" i="1"/>
  <c r="K78" i="1"/>
  <c r="K79" i="1"/>
  <c r="K71" i="1"/>
  <c r="L71" i="1"/>
  <c r="L72" i="1"/>
  <c r="L73" i="1"/>
  <c r="L74" i="1"/>
  <c r="L75" i="1"/>
  <c r="L76" i="1"/>
  <c r="L77" i="1"/>
  <c r="L78" i="1"/>
  <c r="L79" i="1"/>
  <c r="L70" i="1"/>
  <c r="J72" i="1"/>
  <c r="J73" i="1"/>
  <c r="J74" i="1"/>
  <c r="J75" i="1"/>
  <c r="J76" i="1"/>
  <c r="J77" i="1"/>
  <c r="J71" i="1"/>
  <c r="I79" i="1"/>
  <c r="J79" i="1" s="1"/>
  <c r="I78" i="1"/>
  <c r="J78" i="1" s="1"/>
  <c r="I77" i="1"/>
  <c r="I76" i="1"/>
  <c r="I75" i="1"/>
  <c r="I74" i="1"/>
  <c r="I73" i="1"/>
  <c r="I72" i="1"/>
  <c r="I71" i="1"/>
  <c r="I70" i="1"/>
  <c r="H65" i="1"/>
  <c r="F27" i="1"/>
  <c r="E27" i="1"/>
  <c r="E28" i="1" s="1"/>
  <c r="E29" i="1" s="1"/>
  <c r="E30" i="1" s="1"/>
  <c r="E31" i="1" s="1"/>
  <c r="E32" i="1" s="1"/>
  <c r="E33" i="1" s="1"/>
  <c r="E34" i="1" s="1"/>
  <c r="E18" i="1"/>
  <c r="E19" i="1" s="1"/>
  <c r="E20" i="1" s="1"/>
  <c r="E21" i="1" s="1"/>
  <c r="E22" i="1" s="1"/>
  <c r="E23" i="1" s="1"/>
  <c r="F18" i="1"/>
  <c r="C9" i="1"/>
  <c r="D86" i="1"/>
  <c r="D85" i="1"/>
  <c r="D81" i="1"/>
  <c r="D36" i="1"/>
  <c r="D37" i="1"/>
  <c r="D38" i="1"/>
  <c r="D39" i="1"/>
  <c r="D40" i="1"/>
  <c r="D35" i="1"/>
  <c r="H18" i="1" l="1"/>
  <c r="G18" i="1"/>
  <c r="H27" i="1"/>
  <c r="G27" i="1"/>
  <c r="K18" i="1" l="1"/>
  <c r="F19" i="1"/>
  <c r="F28" i="1"/>
  <c r="G28" i="1" s="1"/>
  <c r="K27" i="1"/>
  <c r="J28" i="1" s="1"/>
  <c r="G19" i="1" l="1"/>
  <c r="H19" i="1"/>
  <c r="J19" i="1"/>
  <c r="F29" i="1"/>
  <c r="K28" i="1"/>
  <c r="J29" i="1" s="1"/>
  <c r="H28" i="1"/>
  <c r="I28" i="1" s="1"/>
  <c r="H29" i="1"/>
  <c r="I29" i="1" s="1"/>
  <c r="G29" i="1"/>
  <c r="I19" i="1" l="1"/>
  <c r="K19" i="1"/>
  <c r="J20" i="1" s="1"/>
  <c r="F20" i="1"/>
  <c r="F30" i="1"/>
  <c r="K29" i="1"/>
  <c r="J30" i="1" s="1"/>
  <c r="H30" i="1"/>
  <c r="I30" i="1" s="1"/>
  <c r="G30" i="1"/>
  <c r="G20" i="1" l="1"/>
  <c r="H20" i="1"/>
  <c r="F31" i="1"/>
  <c r="G31" i="1" s="1"/>
  <c r="K30" i="1"/>
  <c r="J31" i="1" s="1"/>
  <c r="H31" i="1"/>
  <c r="I31" i="1" s="1"/>
  <c r="I20" i="1" l="1"/>
  <c r="F21" i="1"/>
  <c r="K20" i="1"/>
  <c r="F32" i="1"/>
  <c r="G32" i="1" s="1"/>
  <c r="K31" i="1"/>
  <c r="J32" i="1" s="1"/>
  <c r="H32" i="1" l="1"/>
  <c r="I32" i="1" s="1"/>
  <c r="J21" i="1"/>
  <c r="G21" i="1"/>
  <c r="H21" i="1"/>
  <c r="K32" i="1"/>
  <c r="J33" i="1" s="1"/>
  <c r="F33" i="1"/>
  <c r="I21" i="1" l="1"/>
  <c r="F22" i="1"/>
  <c r="K21" i="1"/>
  <c r="G33" i="1"/>
  <c r="H33" i="1"/>
  <c r="I33" i="1" s="1"/>
  <c r="J22" i="1" l="1"/>
  <c r="G22" i="1"/>
  <c r="H22" i="1"/>
  <c r="I22" i="1" s="1"/>
  <c r="F34" i="1"/>
  <c r="K33" i="1"/>
  <c r="J34" i="1" s="1"/>
  <c r="F23" i="1" l="1"/>
  <c r="K22" i="1"/>
  <c r="G34" i="1"/>
  <c r="K34" i="1" s="1"/>
  <c r="H34" i="1"/>
  <c r="I34" i="1" s="1"/>
  <c r="J23" i="1" l="1"/>
  <c r="G23" i="1"/>
  <c r="H23" i="1"/>
  <c r="I23" i="1" l="1"/>
  <c r="C39" i="1" s="1"/>
  <c r="C37" i="1"/>
  <c r="C38" i="1" s="1"/>
  <c r="K23" i="1"/>
  <c r="C40" i="1" l="1"/>
  <c r="C36" i="1"/>
  <c r="C3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tc={34AC6FE3-70FF-4F07-A0DC-E4948FD5F88F}</author>
    <author>tc={A86EB2F3-9C0D-4A80-9534-6D297CBF4340}</author>
    <author>tc={E8C7F988-2E25-4A3B-BEA3-DBBCCF7269D0}</author>
    <author>tc={D08B9361-EF06-4D44-9A94-8E4715C2C9A6}</author>
    <author>tc={B410D022-E79F-4A61-8941-09BBF7643E00}</author>
  </authors>
  <commentList>
    <comment ref="K17" authorId="0" shapeId="0" xr:uid="{34AC6FE3-70FF-4F07-A0DC-E4948FD5F88F}">
      <text>
        <t>[Threaded comment]
Your version of Excel allows you to read this threaded comment; however, any edits to it will get removed if the file is opened in a newer version of Excel. Learn more: https://go.microsoft.com/fwlink/?linkid=870924
Comment:
    =number entered - number served. Count all arrival times that are less than the current item’s departure. That is number entered. Subtract the counter for the current item (number served).</t>
      </text>
    </comment>
    <comment ref="J26" authorId="1" shapeId="0" xr:uid="{A86EB2F3-9C0D-4A80-9534-6D297CBF4340}">
      <text>
        <t>[Threaded comment]
Your version of Excel allows you to read this threaded comment; however, any edits to it will get removed if the file is opened in a newer version of Excel. Learn more: https://go.microsoft.com/fwlink/?linkid=870924
Comment:
    This queue start number is very poorly defined in the text. It almost seems wrong. For example, for car 4, when it starts charging at T=26, there are no cars yet. Perhaps the Q start number is from when the car arrives</t>
      </text>
    </comment>
    <comment ref="J31" authorId="2" shapeId="0" xr:uid="{E8C7F988-2E25-4A3B-BEA3-DBBCCF7269D0}">
      <text>
        <t>[Threaded comment]
Your version of Excel allows you to read this threaded comment; however, any edits to it will get removed if the file is opened in a newer version of Excel. Learn more: https://go.microsoft.com/fwlink/?linkid=870924
Comment:
    This textbook value doesn’t make sense either. If using service start as the time for queue at start, there’s only one other vehicle that is in line by 34 minutes.</t>
      </text>
    </comment>
    <comment ref="K31" authorId="3" shapeId="0" xr:uid="{D08B9361-EF06-4D44-9A94-8E4715C2C9A6}">
      <text>
        <t>[Threaded comment]
Your version of Excel allows you to read this threaded comment; however, any edits to it will get removed if the file is opened in a newer version of Excel. Learn more: https://go.microsoft.com/fwlink/?linkid=870924
Comment:
    I believe this is the correct value. Textbook has it as 2.</t>
      </text>
    </comment>
    <comment ref="A44" authorId="4" shapeId="0" xr:uid="{B410D022-E79F-4A61-8941-09BBF7643E00}">
      <text>
        <t xml:space="preserve">[Threaded comment]
Your version of Excel allows you to read this threaded comment; however, any edits to it will get removed if the file is opened in a newer version of Excel. Learn more: https://go.microsoft.com/fwlink/?linkid=870924
Comment:
    The Navy has cargo ships serviced in a port utilizing one maintenance facility and considering investment in an
additional facility. Each ship out of operation costs $500,000 per day. Each facility costs $250,000 per day. Simulate the operations over a 20-day period and compare the costs assuming 1 ship arrives per day. Model
probabilistic processes for need of maintenance and
service duration. For randomness, use a coin toss to determine whether an arriving ship needs maintenance.
Heads is yes. Use a die toss to determine the service time of ships that need maintenance. The service time is one half of the die value in# days. </t>
      </text>
    </comment>
  </commentList>
</comments>
</file>

<file path=xl/sharedStrings.xml><?xml version="1.0" encoding="utf-8"?>
<sst xmlns="http://schemas.openxmlformats.org/spreadsheetml/2006/main" count="59" uniqueCount="38">
  <si>
    <t>1. (1 point) The length of a queue during a 30 minute period is 3 for the first 5 minutes, 4 for the next 10 minutes, 2 for the next 6 minutes, and 3 for the last 9 minutes. What is the average queue length during this time?</t>
  </si>
  <si>
    <t>L_bar</t>
  </si>
  <si>
    <t>t_i</t>
  </si>
  <si>
    <t>L_i</t>
  </si>
  <si>
    <t>2. (4 points) Compute this problem manually without the aid of a simulation tool. A Navy helicopter mechanic starts his shift and services incoming helicopters at the following interarrival times in hours:</t>
  </si>
  <si>
    <t>Thus the first pilot arrives at the very beginning of his shift. The respective helicopter service times in hours are:</t>
  </si>
  <si>
    <t>Calculate the minimum and maximum queue length for this period, the total queue time (total time spent in queue for all pilots), the average waiting time in queue, the total idle time for the mechanic, and the resource utilization for the mechanic. Show all your work.</t>
  </si>
  <si>
    <t>Helicopter #</t>
  </si>
  <si>
    <t>Inter-arrival time</t>
  </si>
  <si>
    <t>Service Time</t>
  </si>
  <si>
    <t>Clock Time</t>
  </si>
  <si>
    <t>Service Start</t>
  </si>
  <si>
    <t>Service End</t>
  </si>
  <si>
    <t>Wait Time</t>
  </si>
  <si>
    <t>Mechanic Idle Time</t>
  </si>
  <si>
    <t>Queue Start</t>
  </si>
  <si>
    <t>Length End</t>
  </si>
  <si>
    <t>Double Check Formulas with textbook numbers:</t>
  </si>
  <si>
    <t>Min Queue Length</t>
  </si>
  <si>
    <t>Max Queue Length</t>
  </si>
  <si>
    <t>Total Queue Time</t>
  </si>
  <si>
    <t>Average Waiting Time in Queue</t>
  </si>
  <si>
    <t>total Mechanic Idle Time</t>
  </si>
  <si>
    <t>Mechanic Resource Utilization</t>
  </si>
  <si>
    <t>Ship</t>
  </si>
  <si>
    <t>Interarrival Time</t>
  </si>
  <si>
    <t>Arrival Time</t>
  </si>
  <si>
    <t>3. (5 points) Below is another depiction of the class example for the Navy cargo ship maintenance facility scenario. This is for the single facility configuration and all time units are in days.</t>
  </si>
  <si>
    <t>Queue End</t>
  </si>
  <si>
    <t>Facility Idle Time</t>
  </si>
  <si>
    <t>Number Served</t>
  </si>
  <si>
    <t>Average Waiting Time</t>
  </si>
  <si>
    <t>Resource Utilization (for 21.5 day period)</t>
  </si>
  <si>
    <t>Resource Utilizatio\on (excluding the 1.5 days left to complete maintenance on ship 20)</t>
  </si>
  <si>
    <t>4. (1 point) In Problem 3, how might the resource utilization change for the first facility when a second facility is added? In this case ships will be serviced by the second facility when the first is busy. Assume the same inputs for ship arrivals and service durations.</t>
  </si>
  <si>
    <t>3-2) Calculate the 20-day resource utilization of the single facility using fractional days. The facility is open and staffed 24 hours each day available for service.</t>
  </si>
  <si>
    <t>3-1) What is the average waiting time for the ships that need service?</t>
  </si>
  <si>
    <t>It will decrease. 
The second facility will take work out of the queue for the first facility, which means that there will be more periods of idle time. More idel time leads to a lower utilization rate.
The first example show up in ships 1, 3, and 5. When ship 3 comes in on day 2, it will go to the second facility. But then when ship 1 is done at day 2.5, the first facility will be idle until ship 5 arrives on day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</si>
</sst>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indexed="81"/>
      <name val="Tahoma"/>
      <charset val="1"/>
    </font>
    <font>
      <sz val="9"/>
      <color indexed="81"/>
      <name val="Tahoma"/>
      <family val="2"/>
    </font>
  </fonts>
  <fills count="3">
    <fill>
      <patternFill patternType="none"/>
    </fill>
    <fill>
      <patternFill patternType="gray125"/>
    </fill>
    <fill>
      <patternFill patternType="solid">
        <fgColor theme="9" tint="0.59999389629810485"/>
        <bgColor indexed="64"/>
      </patternFill>
    </fill>
  </fills>
  <borders count="10">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16">
    <xf numFmtId="0" fontId="0" fillId="0" borderId="0" xfId="0"/>
    <xf numFmtId="0" fontId="0" fillId="2" borderId="1" xfId="0" applyFill="1" applyBorder="1"/>
    <xf numFmtId="0" fontId="0" fillId="2" borderId="2" xfId="0" applyFill="1" applyBorder="1"/>
    <xf numFmtId="0" fontId="0" fillId="0" borderId="0" xfId="0" applyAlignment="1">
      <alignment wrapText="1"/>
    </xf>
    <xf numFmtId="0" fontId="0" fillId="2" borderId="4" xfId="0" applyFill="1" applyBorder="1"/>
    <xf numFmtId="0" fontId="0" fillId="2" borderId="8" xfId="0" applyFill="1" applyBorder="1"/>
    <xf numFmtId="0" fontId="0" fillId="2" borderId="3" xfId="0" applyFill="1" applyBorder="1" applyAlignment="1">
      <alignment wrapText="1"/>
    </xf>
    <xf numFmtId="0" fontId="0" fillId="2" borderId="4" xfId="0" applyFill="1" applyBorder="1" applyAlignment="1">
      <alignment wrapText="1"/>
    </xf>
    <xf numFmtId="0" fontId="0" fillId="2" borderId="5" xfId="0" applyFill="1" applyBorder="1" applyAlignment="1">
      <alignment wrapText="1"/>
    </xf>
    <xf numFmtId="0" fontId="0" fillId="2" borderId="6" xfId="0" applyFill="1" applyBorder="1" applyAlignment="1">
      <alignment wrapText="1"/>
    </xf>
    <xf numFmtId="0" fontId="0" fillId="2" borderId="7" xfId="0" applyFill="1" applyBorder="1" applyAlignment="1">
      <alignment wrapText="1"/>
    </xf>
    <xf numFmtId="0" fontId="0" fillId="2" borderId="8" xfId="0" applyFill="1" applyBorder="1" applyAlignment="1">
      <alignment wrapText="1"/>
    </xf>
    <xf numFmtId="0" fontId="0" fillId="2" borderId="1" xfId="0" applyFill="1" applyBorder="1" applyAlignment="1">
      <alignment wrapText="1"/>
    </xf>
    <xf numFmtId="0" fontId="0" fillId="2" borderId="1" xfId="0" applyFill="1" applyBorder="1" applyAlignment="1">
      <alignment horizontal="left" wrapText="1"/>
    </xf>
    <xf numFmtId="0" fontId="0" fillId="2" borderId="9" xfId="0" applyFill="1" applyBorder="1" applyAlignment="1">
      <alignment horizontal="left" wrapText="1"/>
    </xf>
    <xf numFmtId="0" fontId="0" fillId="2" borderId="2" xfId="0"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9</xdr:col>
      <xdr:colOff>228600</xdr:colOff>
      <xdr:row>8</xdr:row>
      <xdr:rowOff>124497</xdr:rowOff>
    </xdr:to>
    <xdr:pic>
      <xdr:nvPicPr>
        <xdr:cNvPr id="2" name="Picture 1">
          <a:extLst>
            <a:ext uri="{FF2B5EF4-FFF2-40B4-BE49-F238E27FC236}">
              <a16:creationId xmlns:a16="http://schemas.microsoft.com/office/drawing/2014/main" id="{6C7434CA-63A7-03C7-5602-2F203BDB09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368300"/>
          <a:ext cx="2667000" cy="1235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Watzak, Benjamin (CIV)" id="{D82ED360-FA88-40FE-87BF-1AF0478DB3A4}" userId="S::benjamin.watzak@nps.edu::2cd626ee-ee0c-44f9-9b52-7995fa5b900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7" dT="2026-01-10T15:39:40.48" personId="{D82ED360-FA88-40FE-87BF-1AF0478DB3A4}" id="{34AC6FE3-70FF-4F07-A0DC-E4948FD5F88F}">
    <text>=number entered - number served. Count all arrival times that are less than the current item’s departure. That is number entered. Subtract the counter for the current item (number served).</text>
  </threadedComment>
  <threadedComment ref="J26" dT="2026-01-10T15:53:13.82" personId="{D82ED360-FA88-40FE-87BF-1AF0478DB3A4}" id="{A86EB2F3-9C0D-4A80-9534-6D297CBF4340}">
    <text>This queue start number is very poorly defined in the text. It almost seems wrong. For example, for car 4, when it starts charging at T=26, there are no cars yet. Perhaps the Q start number is from when the car arrives</text>
  </threadedComment>
  <threadedComment ref="J31" dT="2026-01-12T18:49:04.47" personId="{D82ED360-FA88-40FE-87BF-1AF0478DB3A4}" id="{E8C7F988-2E25-4A3B-BEA3-DBBCCF7269D0}">
    <text>This textbook value doesn’t make sense either. If using service start as the time for queue at start, there’s only one other vehicle that is in line by 34 minutes.</text>
  </threadedComment>
  <threadedComment ref="K31" dT="2026-01-10T15:48:03.72" personId="{D82ED360-FA88-40FE-87BF-1AF0478DB3A4}" id="{D08B9361-EF06-4D44-9A94-8E4715C2C9A6}">
    <text>I believe this is the correct value. Textbook has it as 2.</text>
  </threadedComment>
  <threadedComment ref="A44" dT="2026-01-12T20:56:41.28" personId="{D82ED360-FA88-40FE-87BF-1AF0478DB3A4}" id="{B410D022-E79F-4A61-8941-09BBF7643E00}">
    <text xml:space="preserve">The Navy has cargo ships serviced in a port utilizing one maintenance facility and considering investment in an
additional facility. Each ship out of operation costs $500,000 per day. Each facility costs $250,000 per day. Simulate the operations over a 20-day period and compare the costs assuming 1 ship arrives per day. Model
probabilistic processes for need of maintenance and
service duration. For randomness, use a coin toss to determine whether an arriving ship needs maintenance.
Heads is yes. Use a die toss to determine the service time of ships that need maintenance. The service time is one half of the die value in# days.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FD9F9-2BB3-4A5F-855F-469251A64E06}">
  <dimension ref="A2:L90"/>
  <sheetViews>
    <sheetView tabSelected="1" topLeftCell="A87" workbookViewId="0">
      <selection activeCell="K97" sqref="K97"/>
    </sheetView>
  </sheetViews>
  <sheetFormatPr defaultRowHeight="14.5" x14ac:dyDescent="0.35"/>
  <cols>
    <col min="2" max="2" width="16.90625" customWidth="1"/>
  </cols>
  <sheetData>
    <row r="2" spans="1:7" x14ac:dyDescent="0.35">
      <c r="A2" t="s">
        <v>0</v>
      </c>
    </row>
    <row r="3" spans="1:7" x14ac:dyDescent="0.35">
      <c r="B3" t="s">
        <v>3</v>
      </c>
      <c r="C3" t="s">
        <v>2</v>
      </c>
    </row>
    <row r="4" spans="1:7" x14ac:dyDescent="0.35">
      <c r="B4">
        <v>3</v>
      </c>
      <c r="C4">
        <v>5</v>
      </c>
    </row>
    <row r="5" spans="1:7" x14ac:dyDescent="0.35">
      <c r="B5">
        <v>4</v>
      </c>
      <c r="C5">
        <v>10</v>
      </c>
    </row>
    <row r="6" spans="1:7" x14ac:dyDescent="0.35">
      <c r="B6">
        <v>2</v>
      </c>
      <c r="C6">
        <v>6</v>
      </c>
    </row>
    <row r="7" spans="1:7" x14ac:dyDescent="0.35">
      <c r="B7">
        <v>3</v>
      </c>
      <c r="C7">
        <v>9</v>
      </c>
    </row>
    <row r="8" spans="1:7" ht="15" thickBot="1" x14ac:dyDescent="0.4"/>
    <row r="9" spans="1:7" ht="15" thickBot="1" x14ac:dyDescent="0.4">
      <c r="B9" s="1" t="s">
        <v>1</v>
      </c>
      <c r="C9" s="2">
        <f>SUMPRODUCT(B4:B7,C4:C7)/SUM(C4:C7)</f>
        <v>3.1333333333333333</v>
      </c>
    </row>
    <row r="11" spans="1:7" x14ac:dyDescent="0.35">
      <c r="A11" t="s">
        <v>4</v>
      </c>
    </row>
    <row r="12" spans="1:7" x14ac:dyDescent="0.35">
      <c r="B12">
        <v>0</v>
      </c>
      <c r="C12">
        <v>1.4</v>
      </c>
      <c r="D12">
        <v>2.1</v>
      </c>
      <c r="E12">
        <v>1.9</v>
      </c>
      <c r="F12">
        <v>0.2</v>
      </c>
      <c r="G12">
        <v>1.5</v>
      </c>
    </row>
    <row r="13" spans="1:7" x14ac:dyDescent="0.35">
      <c r="A13" t="s">
        <v>5</v>
      </c>
    </row>
    <row r="14" spans="1:7" x14ac:dyDescent="0.35">
      <c r="B14">
        <v>2.2000000000000002</v>
      </c>
      <c r="C14">
        <v>1.2</v>
      </c>
      <c r="D14">
        <v>0.3</v>
      </c>
      <c r="E14">
        <v>2.8</v>
      </c>
      <c r="F14">
        <v>0.2</v>
      </c>
      <c r="G14">
        <v>1.8</v>
      </c>
    </row>
    <row r="15" spans="1:7" x14ac:dyDescent="0.35">
      <c r="A15" t="s">
        <v>6</v>
      </c>
    </row>
    <row r="17" spans="2:11" s="3" customFormat="1" ht="43.5" x14ac:dyDescent="0.35">
      <c r="B17" s="3" t="s">
        <v>7</v>
      </c>
      <c r="C17" s="3" t="s">
        <v>8</v>
      </c>
      <c r="D17" s="3" t="s">
        <v>9</v>
      </c>
      <c r="E17" s="3" t="s">
        <v>10</v>
      </c>
      <c r="F17" s="3" t="s">
        <v>11</v>
      </c>
      <c r="G17" s="3" t="s">
        <v>12</v>
      </c>
      <c r="H17" s="3" t="s">
        <v>13</v>
      </c>
      <c r="I17" s="3" t="s">
        <v>14</v>
      </c>
      <c r="J17" s="3" t="s">
        <v>15</v>
      </c>
      <c r="K17" s="3" t="s">
        <v>16</v>
      </c>
    </row>
    <row r="18" spans="2:11" x14ac:dyDescent="0.35">
      <c r="B18">
        <v>1</v>
      </c>
      <c r="C18">
        <v>0</v>
      </c>
      <c r="D18">
        <v>2.2000000000000002</v>
      </c>
      <c r="E18">
        <f>C18</f>
        <v>0</v>
      </c>
      <c r="F18">
        <f>C18</f>
        <v>0</v>
      </c>
      <c r="G18">
        <f>F18+D18</f>
        <v>2.2000000000000002</v>
      </c>
      <c r="H18">
        <f>F18-E18</f>
        <v>0</v>
      </c>
      <c r="I18">
        <v>0</v>
      </c>
      <c r="J18">
        <v>0</v>
      </c>
      <c r="K18">
        <f>COUNTIF($E$18:$E$23,"&lt;="&amp;G18)-B18</f>
        <v>1</v>
      </c>
    </row>
    <row r="19" spans="2:11" x14ac:dyDescent="0.35">
      <c r="B19">
        <v>2</v>
      </c>
      <c r="C19">
        <v>1.4</v>
      </c>
      <c r="D19">
        <v>1.2</v>
      </c>
      <c r="E19">
        <f>C19+E18</f>
        <v>1.4</v>
      </c>
      <c r="F19">
        <f>IF(G18&gt;E19,G18,E19)</f>
        <v>2.2000000000000002</v>
      </c>
      <c r="G19">
        <f>F19+D19</f>
        <v>3.4000000000000004</v>
      </c>
      <c r="H19">
        <f t="shared" ref="H19:H23" si="0">F19-E19</f>
        <v>0.80000000000000027</v>
      </c>
      <c r="I19">
        <f>IF(H19&gt;0,0,E19-G18)</f>
        <v>0</v>
      </c>
      <c r="J19">
        <f>K18</f>
        <v>1</v>
      </c>
      <c r="K19">
        <f>COUNTIF($E$18:$E$23,"&lt;="&amp;G19)-B19</f>
        <v>0</v>
      </c>
    </row>
    <row r="20" spans="2:11" x14ac:dyDescent="0.35">
      <c r="B20">
        <v>3</v>
      </c>
      <c r="C20">
        <v>2.1</v>
      </c>
      <c r="D20">
        <v>0.3</v>
      </c>
      <c r="E20">
        <f>C20+E19</f>
        <v>3.5</v>
      </c>
      <c r="F20">
        <f t="shared" ref="F20:F23" si="1">IF(G19&gt;E20,G19,E20)</f>
        <v>3.5</v>
      </c>
      <c r="G20">
        <f t="shared" ref="G20:G23" si="2">F20+D20</f>
        <v>3.8</v>
      </c>
      <c r="H20">
        <f t="shared" si="0"/>
        <v>0</v>
      </c>
      <c r="I20">
        <f>IF(H20&gt;0,0,E20-G19)</f>
        <v>9.9999999999999645E-2</v>
      </c>
      <c r="J20">
        <f t="shared" ref="J20:J23" si="3">K19</f>
        <v>0</v>
      </c>
      <c r="K20">
        <f t="shared" ref="K20:K23" si="4">COUNTIF($E$18:$E$23,"&lt;="&amp;G20)-B20</f>
        <v>0</v>
      </c>
    </row>
    <row r="21" spans="2:11" x14ac:dyDescent="0.35">
      <c r="B21">
        <v>4</v>
      </c>
      <c r="C21">
        <v>1.9</v>
      </c>
      <c r="D21">
        <v>2.8</v>
      </c>
      <c r="E21">
        <f t="shared" ref="E21:E23" si="5">C21+E20</f>
        <v>5.4</v>
      </c>
      <c r="F21">
        <f t="shared" si="1"/>
        <v>5.4</v>
      </c>
      <c r="G21">
        <f t="shared" si="2"/>
        <v>8.1999999999999993</v>
      </c>
      <c r="H21">
        <f t="shared" si="0"/>
        <v>0</v>
      </c>
      <c r="I21">
        <f>IF(H21&gt;0,0,E21-G20)</f>
        <v>1.6000000000000005</v>
      </c>
      <c r="J21">
        <f t="shared" si="3"/>
        <v>0</v>
      </c>
      <c r="K21">
        <f t="shared" si="4"/>
        <v>2</v>
      </c>
    </row>
    <row r="22" spans="2:11" x14ac:dyDescent="0.35">
      <c r="B22">
        <v>5</v>
      </c>
      <c r="C22">
        <v>0.2</v>
      </c>
      <c r="D22">
        <v>0.2</v>
      </c>
      <c r="E22">
        <f t="shared" si="5"/>
        <v>5.6000000000000005</v>
      </c>
      <c r="F22">
        <f t="shared" si="1"/>
        <v>8.1999999999999993</v>
      </c>
      <c r="G22">
        <f t="shared" si="2"/>
        <v>8.3999999999999986</v>
      </c>
      <c r="H22">
        <f t="shared" si="0"/>
        <v>2.5999999999999988</v>
      </c>
      <c r="I22">
        <f t="shared" ref="I22:I23" si="6">IF(H22&gt;0,0,E22-G21)</f>
        <v>0</v>
      </c>
      <c r="J22">
        <f t="shared" si="3"/>
        <v>2</v>
      </c>
      <c r="K22">
        <f t="shared" si="4"/>
        <v>1</v>
      </c>
    </row>
    <row r="23" spans="2:11" x14ac:dyDescent="0.35">
      <c r="B23">
        <v>6</v>
      </c>
      <c r="C23">
        <v>1.5</v>
      </c>
      <c r="D23">
        <v>1.8</v>
      </c>
      <c r="E23">
        <f t="shared" si="5"/>
        <v>7.1000000000000005</v>
      </c>
      <c r="F23">
        <f t="shared" si="1"/>
        <v>8.3999999999999986</v>
      </c>
      <c r="G23">
        <f t="shared" si="2"/>
        <v>10.199999999999999</v>
      </c>
      <c r="H23">
        <f t="shared" si="0"/>
        <v>1.299999999999998</v>
      </c>
      <c r="I23">
        <f t="shared" si="6"/>
        <v>0</v>
      </c>
      <c r="J23">
        <f t="shared" si="3"/>
        <v>1</v>
      </c>
      <c r="K23">
        <f t="shared" si="4"/>
        <v>0</v>
      </c>
    </row>
    <row r="24" spans="2:11" ht="15" thickBot="1" x14ac:dyDescent="0.4"/>
    <row r="25" spans="2:11" hidden="1" x14ac:dyDescent="0.35">
      <c r="B25" t="s">
        <v>17</v>
      </c>
    </row>
    <row r="26" spans="2:11" ht="43.5" hidden="1" x14ac:dyDescent="0.35">
      <c r="B26" s="3" t="s">
        <v>7</v>
      </c>
      <c r="C26" s="3" t="s">
        <v>8</v>
      </c>
      <c r="D26" s="3" t="s">
        <v>9</v>
      </c>
      <c r="E26" s="3" t="s">
        <v>10</v>
      </c>
      <c r="F26" s="3" t="s">
        <v>11</v>
      </c>
      <c r="G26" s="3" t="s">
        <v>12</v>
      </c>
      <c r="H26" s="3" t="s">
        <v>13</v>
      </c>
      <c r="I26" s="3" t="s">
        <v>14</v>
      </c>
      <c r="J26" s="3" t="s">
        <v>15</v>
      </c>
      <c r="K26" s="3" t="s">
        <v>16</v>
      </c>
    </row>
    <row r="27" spans="2:11" hidden="1" x14ac:dyDescent="0.35">
      <c r="B27">
        <v>1</v>
      </c>
      <c r="C27">
        <v>2</v>
      </c>
      <c r="D27">
        <v>11</v>
      </c>
      <c r="E27">
        <f>C27</f>
        <v>2</v>
      </c>
      <c r="F27">
        <f>C27</f>
        <v>2</v>
      </c>
      <c r="G27">
        <f>F27+D27</f>
        <v>13</v>
      </c>
      <c r="H27">
        <f>F27-E27</f>
        <v>0</v>
      </c>
      <c r="I27">
        <v>2</v>
      </c>
      <c r="J27">
        <v>0</v>
      </c>
      <c r="K27">
        <f>COUNTIF($E$27:$E$34,"&lt;="&amp;G27)-B27</f>
        <v>1</v>
      </c>
    </row>
    <row r="28" spans="2:11" hidden="1" x14ac:dyDescent="0.35">
      <c r="B28">
        <v>2</v>
      </c>
      <c r="C28">
        <v>8</v>
      </c>
      <c r="D28">
        <v>8</v>
      </c>
      <c r="E28">
        <f>C28+E27</f>
        <v>10</v>
      </c>
      <c r="F28">
        <f>IF(G27&gt;E28,G27,E28)</f>
        <v>13</v>
      </c>
      <c r="G28">
        <f>F28+D28</f>
        <v>21</v>
      </c>
      <c r="H28">
        <f t="shared" ref="H28:H32" si="7">F28-E28</f>
        <v>3</v>
      </c>
      <c r="I28">
        <f>IF(H28&gt;0,0,E28-G27)</f>
        <v>0</v>
      </c>
      <c r="J28">
        <f>K27</f>
        <v>1</v>
      </c>
      <c r="K28">
        <f>COUNTIF($E$27:$E$34,"&lt;="&amp;G28)-B28</f>
        <v>2</v>
      </c>
    </row>
    <row r="29" spans="2:11" hidden="1" x14ac:dyDescent="0.35">
      <c r="B29">
        <v>3</v>
      </c>
      <c r="C29">
        <v>7</v>
      </c>
      <c r="D29">
        <v>5</v>
      </c>
      <c r="E29">
        <f>C29+E28</f>
        <v>17</v>
      </c>
      <c r="F29">
        <f t="shared" ref="F29:F34" si="8">IF(G28&gt;E29,G28,E29)</f>
        <v>21</v>
      </c>
      <c r="G29">
        <f t="shared" ref="G29:G32" si="9">F29+D29</f>
        <v>26</v>
      </c>
      <c r="H29">
        <f t="shared" si="7"/>
        <v>4</v>
      </c>
      <c r="I29">
        <f>IF(H29&gt;0,0,E29-G28)</f>
        <v>0</v>
      </c>
      <c r="J29">
        <f t="shared" ref="J29:J34" si="10">K28</f>
        <v>2</v>
      </c>
      <c r="K29">
        <f t="shared" ref="K29:K34" si="11">COUNTIF($E$27:$E$34,"&lt;="&amp;G29)-B29</f>
        <v>1</v>
      </c>
    </row>
    <row r="30" spans="2:11" hidden="1" x14ac:dyDescent="0.35">
      <c r="B30">
        <v>4</v>
      </c>
      <c r="C30">
        <v>2</v>
      </c>
      <c r="D30">
        <v>8</v>
      </c>
      <c r="E30">
        <f t="shared" ref="E30:E32" si="12">C30+E29</f>
        <v>19</v>
      </c>
      <c r="F30">
        <f t="shared" si="8"/>
        <v>26</v>
      </c>
      <c r="G30">
        <f t="shared" si="9"/>
        <v>34</v>
      </c>
      <c r="H30">
        <f t="shared" si="7"/>
        <v>7</v>
      </c>
      <c r="I30">
        <f>IF(H30&gt;0,0,E30-G29)</f>
        <v>0</v>
      </c>
      <c r="J30">
        <f t="shared" si="10"/>
        <v>1</v>
      </c>
      <c r="K30">
        <f t="shared" si="11"/>
        <v>2</v>
      </c>
    </row>
    <row r="31" spans="2:11" hidden="1" x14ac:dyDescent="0.35">
      <c r="B31">
        <v>5</v>
      </c>
      <c r="C31">
        <v>11</v>
      </c>
      <c r="D31">
        <v>8</v>
      </c>
      <c r="E31">
        <f t="shared" si="12"/>
        <v>30</v>
      </c>
      <c r="F31">
        <f t="shared" si="8"/>
        <v>34</v>
      </c>
      <c r="G31">
        <f t="shared" si="9"/>
        <v>42</v>
      </c>
      <c r="H31">
        <f t="shared" si="7"/>
        <v>4</v>
      </c>
      <c r="I31">
        <f t="shared" ref="I31:I32" si="13">IF(H31&gt;0,0,E31-G30)</f>
        <v>0</v>
      </c>
      <c r="J31">
        <f t="shared" si="10"/>
        <v>2</v>
      </c>
      <c r="K31">
        <f t="shared" si="11"/>
        <v>1</v>
      </c>
    </row>
    <row r="32" spans="2:11" hidden="1" x14ac:dyDescent="0.35">
      <c r="B32">
        <v>6</v>
      </c>
      <c r="C32">
        <v>3</v>
      </c>
      <c r="D32">
        <v>5</v>
      </c>
      <c r="E32">
        <f t="shared" si="12"/>
        <v>33</v>
      </c>
      <c r="F32">
        <f t="shared" si="8"/>
        <v>42</v>
      </c>
      <c r="G32">
        <f t="shared" si="9"/>
        <v>47</v>
      </c>
      <c r="H32">
        <f t="shared" si="7"/>
        <v>9</v>
      </c>
      <c r="I32">
        <f t="shared" si="13"/>
        <v>0</v>
      </c>
      <c r="J32">
        <f t="shared" si="10"/>
        <v>1</v>
      </c>
      <c r="K32">
        <f t="shared" si="11"/>
        <v>0</v>
      </c>
    </row>
    <row r="33" spans="1:11" hidden="1" x14ac:dyDescent="0.35">
      <c r="B33">
        <v>7</v>
      </c>
      <c r="C33">
        <v>15</v>
      </c>
      <c r="D33">
        <v>10</v>
      </c>
      <c r="E33">
        <f t="shared" ref="E33:E34" si="14">C33+E32</f>
        <v>48</v>
      </c>
      <c r="F33">
        <f t="shared" si="8"/>
        <v>48</v>
      </c>
      <c r="G33">
        <f t="shared" ref="G33:G34" si="15">F33+D33</f>
        <v>58</v>
      </c>
      <c r="H33">
        <f t="shared" ref="H33:H34" si="16">F33-E33</f>
        <v>0</v>
      </c>
      <c r="I33">
        <f t="shared" ref="I33:I34" si="17">IF(H33&gt;0,0,E33-G32)</f>
        <v>1</v>
      </c>
      <c r="J33">
        <f t="shared" si="10"/>
        <v>0</v>
      </c>
      <c r="K33">
        <f t="shared" si="11"/>
        <v>1</v>
      </c>
    </row>
    <row r="34" spans="1:11" hidden="1" x14ac:dyDescent="0.35">
      <c r="B34">
        <v>8</v>
      </c>
      <c r="C34">
        <v>9</v>
      </c>
      <c r="D34">
        <v>12</v>
      </c>
      <c r="E34">
        <f t="shared" si="14"/>
        <v>57</v>
      </c>
      <c r="F34">
        <f t="shared" si="8"/>
        <v>58</v>
      </c>
      <c r="G34">
        <f t="shared" si="15"/>
        <v>70</v>
      </c>
      <c r="H34">
        <f t="shared" si="16"/>
        <v>1</v>
      </c>
      <c r="I34">
        <f t="shared" si="17"/>
        <v>0</v>
      </c>
      <c r="J34">
        <f t="shared" si="10"/>
        <v>1</v>
      </c>
      <c r="K34">
        <f t="shared" si="11"/>
        <v>0</v>
      </c>
    </row>
    <row r="35" spans="1:11" x14ac:dyDescent="0.35">
      <c r="B35" s="6" t="s">
        <v>18</v>
      </c>
      <c r="C35" s="7">
        <f>MIN(J18:K23)</f>
        <v>0</v>
      </c>
      <c r="D35" t="str">
        <f ca="1">_xlfn.FORMULATEXT(C35)</f>
        <v>=MIN(J18:K23)</v>
      </c>
    </row>
    <row r="36" spans="1:11" x14ac:dyDescent="0.35">
      <c r="B36" s="8" t="s">
        <v>19</v>
      </c>
      <c r="C36" s="9">
        <f>MAX(J18:K23)</f>
        <v>2</v>
      </c>
      <c r="D36" t="str">
        <f t="shared" ref="D36:D40" ca="1" si="18">_xlfn.FORMULATEXT(C36)</f>
        <v>=MAX(J18:K23)</v>
      </c>
    </row>
    <row r="37" spans="1:11" x14ac:dyDescent="0.35">
      <c r="B37" s="8" t="s">
        <v>20</v>
      </c>
      <c r="C37" s="9">
        <f>SUM(H18:H23)</f>
        <v>4.6999999999999975</v>
      </c>
      <c r="D37" t="str">
        <f t="shared" ca="1" si="18"/>
        <v>=SUM(H18:H23)</v>
      </c>
    </row>
    <row r="38" spans="1:11" ht="29" x14ac:dyDescent="0.35">
      <c r="B38" s="8" t="s">
        <v>21</v>
      </c>
      <c r="C38" s="9">
        <f>C37/B23</f>
        <v>0.78333333333333288</v>
      </c>
      <c r="D38" t="str">
        <f t="shared" ca="1" si="18"/>
        <v>=C37/B23</v>
      </c>
    </row>
    <row r="39" spans="1:11" ht="29" x14ac:dyDescent="0.35">
      <c r="B39" s="8" t="s">
        <v>22</v>
      </c>
      <c r="C39" s="9">
        <f>SUM(I18:I23)</f>
        <v>1.7000000000000002</v>
      </c>
      <c r="D39" t="str">
        <f t="shared" ca="1" si="18"/>
        <v>=SUM(I18:I23)</v>
      </c>
    </row>
    <row r="40" spans="1:11" ht="29.5" thickBot="1" x14ac:dyDescent="0.4">
      <c r="B40" s="10" t="s">
        <v>23</v>
      </c>
      <c r="C40" s="11">
        <f>(G23-SUM(I18:I23))/G23</f>
        <v>0.83333333333333337</v>
      </c>
      <c r="D40" t="str">
        <f t="shared" ca="1" si="18"/>
        <v>=(G23-SUM(I18:I23))/G23</v>
      </c>
    </row>
    <row r="44" spans="1:11" x14ac:dyDescent="0.35">
      <c r="A44" t="s">
        <v>27</v>
      </c>
    </row>
    <row r="45" spans="1:11" ht="29" x14ac:dyDescent="0.35">
      <c r="B45" s="3" t="s">
        <v>24</v>
      </c>
      <c r="C45" s="3" t="s">
        <v>25</v>
      </c>
      <c r="D45" s="3" t="s">
        <v>9</v>
      </c>
      <c r="E45" s="3" t="s">
        <v>26</v>
      </c>
      <c r="F45" s="3" t="s">
        <v>11</v>
      </c>
      <c r="G45" s="3" t="s">
        <v>12</v>
      </c>
      <c r="H45" s="3"/>
      <c r="I45" s="3"/>
      <c r="J45" s="3"/>
      <c r="K45" s="3"/>
    </row>
    <row r="46" spans="1:11" s="3" customFormat="1" x14ac:dyDescent="0.35">
      <c r="B46">
        <v>1</v>
      </c>
      <c r="C46">
        <v>0</v>
      </c>
      <c r="D46">
        <v>2.5</v>
      </c>
      <c r="E46">
        <v>0</v>
      </c>
      <c r="F46">
        <v>0</v>
      </c>
      <c r="G46">
        <v>2.5</v>
      </c>
      <c r="H46"/>
    </row>
    <row r="47" spans="1:11" x14ac:dyDescent="0.35">
      <c r="B47">
        <v>2</v>
      </c>
      <c r="C47">
        <v>1</v>
      </c>
      <c r="E47">
        <v>1</v>
      </c>
    </row>
    <row r="48" spans="1:11" x14ac:dyDescent="0.35">
      <c r="B48">
        <v>3</v>
      </c>
      <c r="C48">
        <v>1</v>
      </c>
      <c r="D48">
        <v>2</v>
      </c>
      <c r="E48">
        <v>2</v>
      </c>
      <c r="F48">
        <v>2.5</v>
      </c>
      <c r="G48">
        <v>4.5</v>
      </c>
    </row>
    <row r="49" spans="2:7" x14ac:dyDescent="0.35">
      <c r="B49">
        <v>4</v>
      </c>
      <c r="C49">
        <v>1</v>
      </c>
      <c r="E49">
        <v>3</v>
      </c>
    </row>
    <row r="50" spans="2:7" x14ac:dyDescent="0.35">
      <c r="B50">
        <v>5</v>
      </c>
      <c r="C50">
        <v>1</v>
      </c>
      <c r="D50">
        <v>3</v>
      </c>
      <c r="E50">
        <v>4</v>
      </c>
      <c r="F50">
        <v>4.5</v>
      </c>
      <c r="G50">
        <v>7.5</v>
      </c>
    </row>
    <row r="51" spans="2:7" x14ac:dyDescent="0.35">
      <c r="B51">
        <v>6</v>
      </c>
      <c r="C51">
        <v>1</v>
      </c>
      <c r="D51">
        <v>1.5</v>
      </c>
      <c r="E51">
        <v>5</v>
      </c>
      <c r="F51">
        <v>7.5</v>
      </c>
      <c r="G51">
        <v>9</v>
      </c>
    </row>
    <row r="52" spans="2:7" x14ac:dyDescent="0.35">
      <c r="B52">
        <v>7</v>
      </c>
      <c r="C52">
        <v>1</v>
      </c>
      <c r="E52">
        <v>6</v>
      </c>
    </row>
    <row r="53" spans="2:7" x14ac:dyDescent="0.35">
      <c r="B53">
        <v>8</v>
      </c>
      <c r="C53">
        <v>1</v>
      </c>
      <c r="D53">
        <v>2</v>
      </c>
      <c r="E53">
        <v>7</v>
      </c>
      <c r="F53">
        <v>9</v>
      </c>
      <c r="G53">
        <v>11</v>
      </c>
    </row>
    <row r="54" spans="2:7" x14ac:dyDescent="0.35">
      <c r="B54">
        <v>9</v>
      </c>
      <c r="C54">
        <v>1</v>
      </c>
      <c r="D54">
        <v>1</v>
      </c>
      <c r="E54">
        <v>8</v>
      </c>
      <c r="F54">
        <v>11</v>
      </c>
      <c r="G54">
        <v>12</v>
      </c>
    </row>
    <row r="55" spans="2:7" x14ac:dyDescent="0.35">
      <c r="B55">
        <v>10</v>
      </c>
      <c r="C55">
        <v>1</v>
      </c>
      <c r="E55">
        <v>9</v>
      </c>
    </row>
    <row r="56" spans="2:7" x14ac:dyDescent="0.35">
      <c r="B56">
        <v>11</v>
      </c>
      <c r="C56">
        <v>1</v>
      </c>
      <c r="E56">
        <v>10</v>
      </c>
    </row>
    <row r="57" spans="2:7" x14ac:dyDescent="0.35">
      <c r="B57">
        <v>12</v>
      </c>
      <c r="C57">
        <v>1</v>
      </c>
      <c r="E57">
        <v>11</v>
      </c>
    </row>
    <row r="58" spans="2:7" x14ac:dyDescent="0.35">
      <c r="B58">
        <v>13</v>
      </c>
      <c r="C58">
        <v>1</v>
      </c>
      <c r="D58">
        <v>2</v>
      </c>
      <c r="E58">
        <v>12</v>
      </c>
      <c r="F58">
        <v>12</v>
      </c>
      <c r="G58">
        <v>14</v>
      </c>
    </row>
    <row r="59" spans="2:7" x14ac:dyDescent="0.35">
      <c r="B59">
        <v>14</v>
      </c>
      <c r="C59">
        <v>1</v>
      </c>
      <c r="E59">
        <v>13</v>
      </c>
    </row>
    <row r="60" spans="2:7" x14ac:dyDescent="0.35">
      <c r="B60">
        <v>15</v>
      </c>
      <c r="C60">
        <v>1</v>
      </c>
      <c r="E60">
        <v>14</v>
      </c>
    </row>
    <row r="61" spans="2:7" x14ac:dyDescent="0.35">
      <c r="B61">
        <v>16</v>
      </c>
      <c r="C61">
        <v>1</v>
      </c>
      <c r="D61">
        <v>0.5</v>
      </c>
      <c r="E61">
        <v>15</v>
      </c>
      <c r="F61">
        <v>15</v>
      </c>
      <c r="G61">
        <v>15.5</v>
      </c>
    </row>
    <row r="62" spans="2:7" x14ac:dyDescent="0.35">
      <c r="B62">
        <v>17</v>
      </c>
      <c r="C62">
        <v>1</v>
      </c>
      <c r="E62">
        <v>16</v>
      </c>
    </row>
    <row r="63" spans="2:7" x14ac:dyDescent="0.35">
      <c r="B63">
        <v>18</v>
      </c>
      <c r="C63">
        <v>1</v>
      </c>
      <c r="D63">
        <v>1.5</v>
      </c>
      <c r="E63">
        <v>17</v>
      </c>
      <c r="F63">
        <v>17</v>
      </c>
      <c r="G63">
        <v>18.5</v>
      </c>
    </row>
    <row r="64" spans="2:7" x14ac:dyDescent="0.35">
      <c r="B64">
        <v>19</v>
      </c>
      <c r="C64">
        <v>1</v>
      </c>
      <c r="D64">
        <v>3</v>
      </c>
      <c r="E64">
        <v>18</v>
      </c>
      <c r="F64">
        <v>18.5</v>
      </c>
      <c r="G64">
        <v>21.5</v>
      </c>
    </row>
    <row r="65" spans="1:12" x14ac:dyDescent="0.35">
      <c r="B65">
        <v>20</v>
      </c>
      <c r="C65">
        <v>1</v>
      </c>
      <c r="E65">
        <v>19</v>
      </c>
      <c r="H65" t="str">
        <f t="shared" ref="H65" si="19">IF(G65&gt;0,F65-E65,"")</f>
        <v/>
      </c>
    </row>
    <row r="67" spans="1:12" x14ac:dyDescent="0.35">
      <c r="A67" t="s">
        <v>36</v>
      </c>
    </row>
    <row r="69" spans="1:12" ht="29" x14ac:dyDescent="0.35">
      <c r="B69" s="3" t="s">
        <v>24</v>
      </c>
      <c r="C69" s="3" t="s">
        <v>30</v>
      </c>
      <c r="D69" s="3" t="s">
        <v>25</v>
      </c>
      <c r="E69" s="3" t="s">
        <v>9</v>
      </c>
      <c r="F69" s="3" t="s">
        <v>26</v>
      </c>
      <c r="G69" s="3" t="s">
        <v>11</v>
      </c>
      <c r="H69" s="3" t="s">
        <v>12</v>
      </c>
      <c r="I69" s="3" t="s">
        <v>13</v>
      </c>
      <c r="J69" s="3" t="s">
        <v>29</v>
      </c>
      <c r="K69" s="3" t="s">
        <v>15</v>
      </c>
      <c r="L69" s="3" t="s">
        <v>28</v>
      </c>
    </row>
    <row r="70" spans="1:12" x14ac:dyDescent="0.35">
      <c r="B70">
        <v>1</v>
      </c>
      <c r="C70">
        <v>1</v>
      </c>
      <c r="D70">
        <v>0</v>
      </c>
      <c r="E70">
        <v>2.5</v>
      </c>
      <c r="F70">
        <v>0</v>
      </c>
      <c r="G70">
        <v>0</v>
      </c>
      <c r="H70">
        <v>2.5</v>
      </c>
      <c r="I70">
        <f>IF(H70&gt;0,G70-F70,"")</f>
        <v>0</v>
      </c>
      <c r="J70" s="3">
        <v>0</v>
      </c>
      <c r="K70" s="3">
        <v>0</v>
      </c>
      <c r="L70">
        <f>COUNTIF($F$70:$F$79,"&lt;="&amp;H70)-C70</f>
        <v>1</v>
      </c>
    </row>
    <row r="71" spans="1:12" x14ac:dyDescent="0.35">
      <c r="B71">
        <v>3</v>
      </c>
      <c r="C71">
        <v>2</v>
      </c>
      <c r="D71">
        <v>1</v>
      </c>
      <c r="E71">
        <v>2</v>
      </c>
      <c r="F71">
        <v>2</v>
      </c>
      <c r="G71">
        <v>2.5</v>
      </c>
      <c r="H71">
        <v>4.5</v>
      </c>
      <c r="I71">
        <f t="shared" ref="I71:I79" si="20">IF(H71&gt;0,G71-F71,"")</f>
        <v>0.5</v>
      </c>
      <c r="J71">
        <f>IF(I71&gt;0,0,F71-H70)</f>
        <v>0</v>
      </c>
      <c r="K71">
        <f>L70</f>
        <v>1</v>
      </c>
      <c r="L71">
        <f t="shared" ref="L71:L79" si="21">COUNTIF($F$70:$F$79,"&lt;="&amp;H71)-C71</f>
        <v>1</v>
      </c>
    </row>
    <row r="72" spans="1:12" x14ac:dyDescent="0.35">
      <c r="B72">
        <v>5</v>
      </c>
      <c r="C72">
        <v>3</v>
      </c>
      <c r="D72">
        <v>1</v>
      </c>
      <c r="E72">
        <v>3</v>
      </c>
      <c r="F72">
        <v>4</v>
      </c>
      <c r="G72">
        <v>4.5</v>
      </c>
      <c r="H72">
        <v>7.5</v>
      </c>
      <c r="I72">
        <f t="shared" si="20"/>
        <v>0.5</v>
      </c>
      <c r="J72">
        <f t="shared" ref="J72:J79" si="22">IF(I72&gt;0,0,F72-H71)</f>
        <v>0</v>
      </c>
      <c r="K72">
        <f t="shared" ref="K72:K79" si="23">L71</f>
        <v>1</v>
      </c>
      <c r="L72">
        <f t="shared" si="21"/>
        <v>2</v>
      </c>
    </row>
    <row r="73" spans="1:12" x14ac:dyDescent="0.35">
      <c r="B73">
        <v>6</v>
      </c>
      <c r="C73">
        <v>4</v>
      </c>
      <c r="D73">
        <v>1</v>
      </c>
      <c r="E73">
        <v>1.5</v>
      </c>
      <c r="F73">
        <v>5</v>
      </c>
      <c r="G73">
        <v>7.5</v>
      </c>
      <c r="H73">
        <v>9</v>
      </c>
      <c r="I73">
        <f t="shared" si="20"/>
        <v>2.5</v>
      </c>
      <c r="J73">
        <f t="shared" si="22"/>
        <v>0</v>
      </c>
      <c r="K73">
        <f t="shared" si="23"/>
        <v>2</v>
      </c>
      <c r="L73">
        <f t="shared" si="21"/>
        <v>2</v>
      </c>
    </row>
    <row r="74" spans="1:12" x14ac:dyDescent="0.35">
      <c r="B74">
        <v>8</v>
      </c>
      <c r="C74">
        <v>5</v>
      </c>
      <c r="D74">
        <v>1</v>
      </c>
      <c r="E74">
        <v>2</v>
      </c>
      <c r="F74">
        <v>7</v>
      </c>
      <c r="G74">
        <v>9</v>
      </c>
      <c r="H74">
        <v>11</v>
      </c>
      <c r="I74">
        <f t="shared" si="20"/>
        <v>2</v>
      </c>
      <c r="J74">
        <f t="shared" si="22"/>
        <v>0</v>
      </c>
      <c r="K74">
        <f t="shared" si="23"/>
        <v>2</v>
      </c>
      <c r="L74">
        <f t="shared" si="21"/>
        <v>1</v>
      </c>
    </row>
    <row r="75" spans="1:12" x14ac:dyDescent="0.35">
      <c r="B75">
        <v>9</v>
      </c>
      <c r="C75">
        <v>6</v>
      </c>
      <c r="D75">
        <v>1</v>
      </c>
      <c r="E75">
        <v>1</v>
      </c>
      <c r="F75">
        <v>8</v>
      </c>
      <c r="G75">
        <v>11</v>
      </c>
      <c r="H75">
        <v>12</v>
      </c>
      <c r="I75">
        <f t="shared" si="20"/>
        <v>3</v>
      </c>
      <c r="J75">
        <f t="shared" si="22"/>
        <v>0</v>
      </c>
      <c r="K75">
        <f t="shared" si="23"/>
        <v>1</v>
      </c>
      <c r="L75">
        <f t="shared" si="21"/>
        <v>1</v>
      </c>
    </row>
    <row r="76" spans="1:12" x14ac:dyDescent="0.35">
      <c r="B76">
        <v>13</v>
      </c>
      <c r="C76">
        <v>7</v>
      </c>
      <c r="D76">
        <v>1</v>
      </c>
      <c r="E76">
        <v>2</v>
      </c>
      <c r="F76">
        <v>12</v>
      </c>
      <c r="G76">
        <v>12</v>
      </c>
      <c r="H76">
        <v>14</v>
      </c>
      <c r="I76">
        <f t="shared" si="20"/>
        <v>0</v>
      </c>
      <c r="J76">
        <f t="shared" si="22"/>
        <v>0</v>
      </c>
      <c r="K76">
        <f t="shared" si="23"/>
        <v>1</v>
      </c>
      <c r="L76">
        <f t="shared" si="21"/>
        <v>0</v>
      </c>
    </row>
    <row r="77" spans="1:12" x14ac:dyDescent="0.35">
      <c r="B77">
        <v>16</v>
      </c>
      <c r="C77">
        <v>8</v>
      </c>
      <c r="D77">
        <v>1</v>
      </c>
      <c r="E77">
        <v>0.5</v>
      </c>
      <c r="F77">
        <v>15</v>
      </c>
      <c r="G77">
        <v>15</v>
      </c>
      <c r="H77">
        <v>15.5</v>
      </c>
      <c r="I77">
        <f t="shared" si="20"/>
        <v>0</v>
      </c>
      <c r="J77">
        <f t="shared" si="22"/>
        <v>1</v>
      </c>
      <c r="K77">
        <f t="shared" si="23"/>
        <v>0</v>
      </c>
      <c r="L77">
        <f t="shared" si="21"/>
        <v>0</v>
      </c>
    </row>
    <row r="78" spans="1:12" x14ac:dyDescent="0.35">
      <c r="B78">
        <v>18</v>
      </c>
      <c r="C78">
        <v>9</v>
      </c>
      <c r="D78">
        <v>1</v>
      </c>
      <c r="E78">
        <v>1.5</v>
      </c>
      <c r="F78">
        <v>17</v>
      </c>
      <c r="G78">
        <v>17</v>
      </c>
      <c r="H78">
        <v>18.5</v>
      </c>
      <c r="I78">
        <f t="shared" si="20"/>
        <v>0</v>
      </c>
      <c r="J78">
        <f t="shared" si="22"/>
        <v>1.5</v>
      </c>
      <c r="K78">
        <f t="shared" si="23"/>
        <v>0</v>
      </c>
      <c r="L78">
        <f t="shared" si="21"/>
        <v>1</v>
      </c>
    </row>
    <row r="79" spans="1:12" x14ac:dyDescent="0.35">
      <c r="B79">
        <v>19</v>
      </c>
      <c r="C79">
        <v>10</v>
      </c>
      <c r="D79">
        <v>1</v>
      </c>
      <c r="E79">
        <v>3</v>
      </c>
      <c r="F79">
        <v>18</v>
      </c>
      <c r="G79">
        <v>18.5</v>
      </c>
      <c r="H79">
        <v>21.5</v>
      </c>
      <c r="I79">
        <f t="shared" si="20"/>
        <v>0.5</v>
      </c>
      <c r="J79">
        <f t="shared" si="22"/>
        <v>0</v>
      </c>
      <c r="K79">
        <f t="shared" si="23"/>
        <v>1</v>
      </c>
      <c r="L79">
        <f t="shared" si="21"/>
        <v>0</v>
      </c>
    </row>
    <row r="80" spans="1:12" ht="15" thickBot="1" x14ac:dyDescent="0.4"/>
    <row r="81" spans="1:8" ht="29.5" thickBot="1" x14ac:dyDescent="0.4">
      <c r="B81" s="12" t="s">
        <v>31</v>
      </c>
      <c r="C81" s="2">
        <f>SUM(I70:I79)/C79</f>
        <v>0.9</v>
      </c>
      <c r="D81" t="str">
        <f ca="1">_xlfn.FORMULATEXT(C81)</f>
        <v>=SUM(I70:I79)/C79</v>
      </c>
    </row>
    <row r="83" spans="1:8" x14ac:dyDescent="0.35">
      <c r="A83" t="s">
        <v>35</v>
      </c>
    </row>
    <row r="84" spans="1:8" ht="15" thickBot="1" x14ac:dyDescent="0.4"/>
    <row r="85" spans="1:8" ht="101.5" x14ac:dyDescent="0.35">
      <c r="B85" s="6" t="s">
        <v>33</v>
      </c>
      <c r="C85" s="4">
        <f>(20-SUM(J70:J79))/20</f>
        <v>0.875</v>
      </c>
      <c r="D85" t="str">
        <f ca="1">_xlfn.FORMULATEXT(C85)</f>
        <v>=(20-SUM(J70:J79))/20</v>
      </c>
    </row>
    <row r="86" spans="1:8" ht="44" thickBot="1" x14ac:dyDescent="0.4">
      <c r="B86" s="10" t="s">
        <v>32</v>
      </c>
      <c r="C86" s="5">
        <f>(H79-SUM(J70:J79))/H79</f>
        <v>0.88372093023255816</v>
      </c>
      <c r="D86" t="str">
        <f ca="1">_xlfn.FORMULATEXT(C86)</f>
        <v>=(H79-SUM(J70:J79))/H79</v>
      </c>
    </row>
    <row r="88" spans="1:8" x14ac:dyDescent="0.35">
      <c r="A88" t="s">
        <v>34</v>
      </c>
    </row>
    <row r="89" spans="1:8" ht="15" thickBot="1" x14ac:dyDescent="0.4"/>
    <row r="90" spans="1:8" ht="104.5" customHeight="1" thickBot="1" x14ac:dyDescent="0.4">
      <c r="B90" s="13" t="s">
        <v>37</v>
      </c>
      <c r="C90" s="14"/>
      <c r="D90" s="14"/>
      <c r="E90" s="14"/>
      <c r="F90" s="14"/>
      <c r="G90" s="14"/>
      <c r="H90" s="15"/>
    </row>
  </sheetData>
  <mergeCells count="1">
    <mergeCell ref="B90:H90"/>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Watzak, Benjamin (CIV)</dc:creator>
  <cp:lastModifiedBy>Watzak, Benjamin (CIV)</cp:lastModifiedBy>
  <dcterms:created xsi:type="dcterms:W3CDTF">2026-01-10T09:04:11Z</dcterms:created>
  <dcterms:modified xsi:type="dcterms:W3CDTF">2026-01-12T21:29:28Z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bbd4a6-dc2f-44d9-ad2c-c28d4679873f_Enabled">
    <vt:lpwstr>true</vt:lpwstr>
  </property>
  <property fmtid="{D5CDD505-2E9C-101B-9397-08002B2CF9AE}" pid="3" name="MSIP_Label_acbbd4a6-dc2f-44d9-ad2c-c28d4679873f_SetDate">
    <vt:lpwstr>2026-01-10T09:10:19Z</vt:lpwstr>
  </property>
  <property fmtid="{D5CDD505-2E9C-101B-9397-08002B2CF9AE}" pid="4" name="MSIP_Label_acbbd4a6-dc2f-44d9-ad2c-c28d4679873f_Method">
    <vt:lpwstr>Standard</vt:lpwstr>
  </property>
  <property fmtid="{D5CDD505-2E9C-101B-9397-08002B2CF9AE}" pid="5" name="MSIP_Label_acbbd4a6-dc2f-44d9-ad2c-c28d4679873f_Name">
    <vt:lpwstr>No Label</vt:lpwstr>
  </property>
  <property fmtid="{D5CDD505-2E9C-101B-9397-08002B2CF9AE}" pid="6" name="MSIP_Label_acbbd4a6-dc2f-44d9-ad2c-c28d4679873f_SiteId">
    <vt:lpwstr>6d936231-a517-40ea-9199-f7578963378e</vt:lpwstr>
  </property>
  <property fmtid="{D5CDD505-2E9C-101B-9397-08002B2CF9AE}" pid="7" name="MSIP_Label_acbbd4a6-dc2f-44d9-ad2c-c28d4679873f_ActionId">
    <vt:lpwstr>81209d87-75f9-47d9-a3b3-52b401503150</vt:lpwstr>
  </property>
  <property fmtid="{D5CDD505-2E9C-101B-9397-08002B2CF9AE}" pid="8" name="MSIP_Label_acbbd4a6-dc2f-44d9-ad2c-c28d4679873f_ContentBits">
    <vt:lpwstr>0</vt:lpwstr>
  </property>
  <property fmtid="{D5CDD505-2E9C-101B-9397-08002B2CF9AE}" pid="9" name="MSIP_Label_acbbd4a6-dc2f-44d9-ad2c-c28d4679873f_Tag">
    <vt:lpwstr>10, 3, 0, 1</vt:lpwstr>
  </property>
</Properties>
</file>