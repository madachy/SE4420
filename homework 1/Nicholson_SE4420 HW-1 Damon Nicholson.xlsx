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armyeitaas-my.sharepoint-mil.us/personal/damon_k_nicholson2_civ_army_mil/Documents/Documents/Damon Personal/01Naval Post Graduate/11. SE4420/"/>
    </mc:Choice>
  </mc:AlternateContent>
  <xr:revisionPtr revIDLastSave="4" documentId="8_{689DB1FF-42BC-40DF-937F-AE266B656374}" xr6:coauthVersionLast="47" xr6:coauthVersionMax="47" xr10:uidLastSave="{636F89E0-CD99-4DC5-8B03-A8EEB4EEAEB1}"/>
  <bookViews>
    <workbookView xWindow="-5955" yWindow="-21570" windowWidth="19410" windowHeight="21675"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1" l="1"/>
  <c r="D69" i="1"/>
  <c r="D66" i="1"/>
  <c r="H64" i="1"/>
  <c r="G64" i="1"/>
  <c r="C64" i="1"/>
  <c r="C32" i="1"/>
  <c r="B38" i="1" s="1"/>
  <c r="G32" i="1"/>
  <c r="B35" i="1" s="1"/>
  <c r="H32" i="1"/>
  <c r="B37" i="1" s="1"/>
  <c r="H7" i="1"/>
</calcChain>
</file>

<file path=xl/sharedStrings.xml><?xml version="1.0" encoding="utf-8"?>
<sst xmlns="http://schemas.openxmlformats.org/spreadsheetml/2006/main" count="46" uniqueCount="40">
  <si>
    <t>Damon Nicholson SE4420 HW-1</t>
  </si>
  <si>
    <t>1. The length of a queue during a 30 minute period is 3 for the first 5 minutes, 4 for the
next 10 minutes, 2 for the next 6 minutes, and 3 for the last 9 minutes. What is the average
queue length during this time?</t>
  </si>
  <si>
    <t>Queue</t>
  </si>
  <si>
    <t>(3x5)+(4x10)+(2x6)+(3x9)</t>
  </si>
  <si>
    <t>2. Compute this problem manually without the aid of a simulation tool. A Navy
helicopter mechanic starts his shift and services incoming helicopters at the following inter-arrival
times in hours:
                                                                             [0, 1.4, 2.1, 1.9, 0.2, 1.5]
Thus the first pilot arrives at the very beginning of his shift. The respective helicopter service
times in hours are:
                                                                               [2.2, 1.2, .3, 2.8, .2, 1.8]
Calculate the minimum and maximum queue length for this period, the total queue time (total
time spent in queue for all pilots), the average waiting time in queue, the total idle time for
the mechanic, and the resource utilization for the mechanic. Show all your work.</t>
  </si>
  <si>
    <t>Service</t>
  </si>
  <si>
    <t>Inter-Arrival Time</t>
  </si>
  <si>
    <t>Service Time</t>
  </si>
  <si>
    <t>Clock Time</t>
  </si>
  <si>
    <t>Service Starts</t>
  </si>
  <si>
    <t>Service Ends</t>
  </si>
  <si>
    <t>Wait Time</t>
  </si>
  <si>
    <t>Service Idle Time</t>
  </si>
  <si>
    <t>Queue Length Start</t>
  </si>
  <si>
    <t>Queue Length End</t>
  </si>
  <si>
    <t>Min Queue</t>
  </si>
  <si>
    <t>Max Queue</t>
  </si>
  <si>
    <t>Resource Utilization</t>
  </si>
  <si>
    <t>Ttl Queue Time</t>
  </si>
  <si>
    <t>Ttl Idle
Time</t>
  </si>
  <si>
    <t>Aircraft 2 and 5 waited a combined 1.61 hours</t>
  </si>
  <si>
    <t xml:space="preserve">3. Below Below is another depiction of the class example for the Navy cargo ship maintenance
facility scenario. This is for the single facility configuration and all time units are in days.
1) What is the average waiting time for the ships that need service?
2) Calculate the 20-day resource utilization of the single facility using fractional days. The
facility is open and staffed 24 hours each day available for service. </t>
  </si>
  <si>
    <t>Ship</t>
  </si>
  <si>
    <t>Inter-arrival time</t>
  </si>
  <si>
    <t>Arrival Time</t>
  </si>
  <si>
    <t>Service Start</t>
  </si>
  <si>
    <t>Service End</t>
  </si>
  <si>
    <t>Avg Waiting Time for Ships Needing Service</t>
  </si>
  <si>
    <t>20-Day Resource Utilization</t>
  </si>
  <si>
    <t>10 Ships waited on average 0.9 days to receive service.</t>
  </si>
  <si>
    <t>FAC 2</t>
  </si>
  <si>
    <t xml:space="preserve">If a second facility is added to work on ships that might otherwise be in queue, it would result in ships 3, 6, 8, and 19 being pushed to Facility-2. This would reduce the number of days Facility-1 is operational by 8.5 day resuliting in decreased utilization to 10.5 days out of 20 days, or 53%. </t>
  </si>
  <si>
    <r>
      <t xml:space="preserve">4. In Problem 3, how might the resource utilization change for the first facility when a
second facility is added? In this case ships will be serviced by the second facility when the first
is busy. Assume the same inputs for ship arrivals and service durations.
A. it will be the same
B. it will increase
</t>
    </r>
    <r>
      <rPr>
        <sz val="11"/>
        <color rgb="FFFF0000"/>
        <rFont val="Calibri"/>
        <family val="2"/>
        <scheme val="minor"/>
      </rPr>
      <t>C. it will decrease</t>
    </r>
    <r>
      <rPr>
        <sz val="11"/>
        <color rgb="FF0070C0"/>
        <rFont val="Calibri"/>
        <family val="2"/>
        <scheme val="minor"/>
      </rPr>
      <t xml:space="preserve">
D. it cannot be determined</t>
    </r>
  </si>
  <si>
    <t>The facility performed work 17.5 day units of the 20 day units available resulting in a 86% utilization rate. Ship 19 work should be counted in the next cycle because it finishes at 21.5 days.</t>
  </si>
  <si>
    <t>No equipment in queue as first ship arrives</t>
  </si>
  <si>
    <t>Mechanics were idle for a combined 1.7 hours</t>
  </si>
  <si>
    <t>The mechanics were active for 8.5 hours out of 10.2 hours (83%)</t>
  </si>
  <si>
    <t>Aircraft 5 &amp; 6 waiting for aircraft 4 to complete service</t>
  </si>
  <si>
    <t>Avg Queue</t>
  </si>
  <si>
    <t>Avg Queue time is .78 hours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</si>
</sst>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0070C0"/>
      <name val="Calibri"/>
      <family val="2"/>
      <scheme val="minor"/>
    </font>
    <font>
      <sz val="11"/>
      <color rgb="FF0070C0"/>
      <name val="Calibri"/>
      <family val="2"/>
      <scheme val="minor"/>
    </font>
  </fonts>
  <fills count="4">
    <fill>
      <patternFill patternType="none"/>
    </fill>
    <fill>
      <patternFill patternType="gray125"/>
    </fill>
    <fill>
      <patternFill patternType="solid">
        <fgColor rgb="FF92D050"/>
        <bgColor indexed="64"/>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87">
    <xf numFmtId="0" fontId="0" fillId="0" borderId="0" xfId="0"/>
    <xf numFmtId="0" fontId="2" fillId="0" borderId="0" xfId="0" applyFont="1"/>
    <xf numFmtId="0" fontId="0" fillId="0" borderId="0" xfId="0" applyAlignment="1">
      <alignment vertical="top" wrapText="1"/>
    </xf>
    <xf numFmtId="0" fontId="0" fillId="0" borderId="1" xfId="0" applyBorder="1"/>
    <xf numFmtId="0" fontId="0" fillId="2" borderId="1" xfId="0" applyFill="1" applyBorder="1" applyAlignment="1">
      <alignment horizontal="center" vertical="center"/>
    </xf>
    <xf numFmtId="2" fontId="0" fillId="2" borderId="1" xfId="0" applyNumberFormat="1" applyFill="1" applyBorder="1" applyAlignment="1">
      <alignment horizontal="center"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0" fillId="0" borderId="8" xfId="0" applyBorder="1"/>
    <xf numFmtId="0" fontId="0" fillId="0" borderId="9" xfId="0" applyBorder="1"/>
    <xf numFmtId="0" fontId="0" fillId="2" borderId="0" xfId="0" applyFill="1"/>
    <xf numFmtId="0" fontId="0" fillId="0" borderId="10" xfId="0" applyBorder="1"/>
    <xf numFmtId="0" fontId="0" fillId="0" borderId="11" xfId="0" applyBorder="1"/>
    <xf numFmtId="0" fontId="0" fillId="0" borderId="12" xfId="0" applyBorder="1"/>
    <xf numFmtId="0" fontId="0" fillId="0" borderId="8" xfId="0" applyBorder="1" applyAlignment="1">
      <alignment vertical="top" wrapText="1"/>
    </xf>
    <xf numFmtId="0" fontId="0" fillId="0" borderId="9" xfId="0" applyBorder="1" applyAlignment="1">
      <alignment vertical="top" wrapText="1"/>
    </xf>
    <xf numFmtId="0" fontId="0" fillId="0" borderId="8" xfId="0" applyBorder="1" applyAlignment="1">
      <alignment horizontal="center" vertical="center"/>
    </xf>
    <xf numFmtId="0" fontId="0" fillId="0" borderId="0" xfId="0" applyAlignment="1">
      <alignment horizontal="center" vertical="center" wrapText="1"/>
    </xf>
    <xf numFmtId="0" fontId="0" fillId="0" borderId="9" xfId="0" applyBorder="1" applyAlignment="1">
      <alignment horizontal="center" vertical="center" wrapText="1"/>
    </xf>
    <xf numFmtId="0" fontId="0" fillId="0" borderId="0" xfId="0" applyAlignment="1">
      <alignment horizontal="center" vertical="center"/>
    </xf>
    <xf numFmtId="2" fontId="0" fillId="0" borderId="0" xfId="0" applyNumberFormat="1" applyAlignment="1">
      <alignment horizontal="center" vertical="center"/>
    </xf>
    <xf numFmtId="0" fontId="0" fillId="0" borderId="9" xfId="0" applyBorder="1" applyAlignment="1">
      <alignment horizontal="center" vertical="center"/>
    </xf>
    <xf numFmtId="0" fontId="2" fillId="2" borderId="13" xfId="0" applyFont="1" applyFill="1" applyBorder="1" applyAlignment="1">
      <alignment wrapText="1"/>
    </xf>
    <xf numFmtId="164" fontId="0" fillId="0" borderId="1" xfId="0" applyNumberFormat="1" applyBorder="1" applyAlignment="1">
      <alignment horizontal="center" vertical="center"/>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xf>
    <xf numFmtId="0" fontId="0" fillId="0" borderId="1" xfId="0" applyBorder="1" applyAlignment="1">
      <alignment horizontal="center" vertical="center" wrapText="1"/>
    </xf>
    <xf numFmtId="164" fontId="0" fillId="0" borderId="1" xfId="0" applyNumberFormat="1" applyBorder="1" applyAlignment="1">
      <alignment horizontal="center"/>
    </xf>
    <xf numFmtId="0" fontId="0" fillId="2" borderId="2" xfId="0" applyFill="1" applyBorder="1"/>
    <xf numFmtId="0" fontId="0" fillId="0" borderId="5" xfId="0" applyBorder="1"/>
    <xf numFmtId="0" fontId="0" fillId="0" borderId="6" xfId="0" applyBorder="1"/>
    <xf numFmtId="0" fontId="0" fillId="0" borderId="7" xfId="0" applyBorder="1"/>
    <xf numFmtId="0" fontId="4" fillId="0" borderId="13" xfId="0" applyFont="1" applyBorder="1" applyAlignment="1">
      <alignment horizontal="center" vertical="center" wrapText="1"/>
    </xf>
    <xf numFmtId="0" fontId="4" fillId="0" borderId="13" xfId="0" applyFont="1" applyBorder="1" applyAlignment="1">
      <alignment horizontal="center" vertical="center"/>
    </xf>
    <xf numFmtId="0" fontId="0" fillId="0" borderId="0" xfId="0" applyAlignment="1">
      <alignment horizontal="left" vertical="top"/>
    </xf>
    <xf numFmtId="164" fontId="4" fillId="0" borderId="17" xfId="0" applyNumberFormat="1" applyFont="1" applyBorder="1" applyAlignment="1">
      <alignment horizontal="center" vertical="center"/>
    </xf>
    <xf numFmtId="164" fontId="0" fillId="0" borderId="17" xfId="0" applyNumberFormat="1" applyBorder="1" applyAlignment="1">
      <alignment horizontal="center"/>
    </xf>
    <xf numFmtId="0" fontId="3" fillId="0" borderId="14" xfId="0" applyFont="1" applyBorder="1"/>
    <xf numFmtId="0" fontId="3" fillId="0" borderId="15" xfId="0" applyFont="1" applyBorder="1"/>
    <xf numFmtId="0" fontId="3" fillId="0" borderId="16" xfId="0" applyFont="1" applyBorder="1"/>
    <xf numFmtId="0" fontId="0" fillId="0" borderId="0" xfId="0" applyBorder="1" applyAlignment="1">
      <alignment horizontal="center" vertical="center" wrapText="1"/>
    </xf>
    <xf numFmtId="164" fontId="4" fillId="0" borderId="0" xfId="0" applyNumberFormat="1" applyFont="1" applyBorder="1" applyAlignment="1">
      <alignment horizontal="center" vertical="center"/>
    </xf>
    <xf numFmtId="0" fontId="0" fillId="0" borderId="0" xfId="0" applyBorder="1"/>
    <xf numFmtId="0" fontId="0" fillId="2" borderId="1" xfId="0" applyFill="1" applyBorder="1" applyAlignment="1">
      <alignment horizontal="center"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0" xfId="0" applyFont="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4" fillId="0" borderId="8" xfId="0" applyFont="1" applyBorder="1" applyAlignment="1">
      <alignment horizontal="left" vertical="top" wrapText="1"/>
    </xf>
    <xf numFmtId="0" fontId="4" fillId="0" borderId="0" xfId="0" applyFont="1" applyAlignment="1">
      <alignment horizontal="left" vertical="top" wrapText="1"/>
    </xf>
    <xf numFmtId="0" fontId="4" fillId="0" borderId="9" xfId="0" applyFont="1" applyBorder="1" applyAlignment="1">
      <alignment horizontal="left" vertical="top" wrapText="1"/>
    </xf>
    <xf numFmtId="0" fontId="4" fillId="0" borderId="10" xfId="0" applyFont="1" applyBorder="1" applyAlignment="1">
      <alignment horizontal="left" vertical="top" wrapText="1"/>
    </xf>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0" fillId="2" borderId="1" xfId="0" applyFill="1" applyBorder="1" applyAlignment="1">
      <alignment horizontal="left" vertical="top" wrapText="1"/>
    </xf>
    <xf numFmtId="0" fontId="0" fillId="2" borderId="18" xfId="0" applyFill="1" applyBorder="1" applyAlignment="1">
      <alignment horizontal="left" vertical="top" wrapText="1"/>
    </xf>
    <xf numFmtId="0" fontId="0" fillId="2" borderId="2" xfId="0" applyFill="1" applyBorder="1" applyAlignment="1">
      <alignment horizontal="left" vertical="center"/>
    </xf>
    <xf numFmtId="0" fontId="0" fillId="2" borderId="3" xfId="0" applyFill="1" applyBorder="1" applyAlignment="1">
      <alignment horizontal="left" vertical="center"/>
    </xf>
    <xf numFmtId="0" fontId="0" fillId="2" borderId="4" xfId="0" applyFill="1" applyBorder="1" applyAlignment="1">
      <alignment horizontal="left" vertical="center"/>
    </xf>
    <xf numFmtId="0" fontId="3" fillId="3" borderId="14" xfId="0" applyFont="1" applyFill="1" applyBorder="1" applyAlignment="1">
      <alignment horizontal="left" vertical="top" wrapText="1"/>
    </xf>
    <xf numFmtId="0" fontId="3" fillId="3" borderId="15" xfId="0" applyFont="1" applyFill="1" applyBorder="1" applyAlignment="1">
      <alignment horizontal="left" vertical="top" wrapText="1"/>
    </xf>
    <xf numFmtId="0" fontId="3" fillId="3" borderId="16" xfId="0" applyFont="1" applyFill="1" applyBorder="1" applyAlignment="1">
      <alignment horizontal="left" vertical="top" wrapText="1"/>
    </xf>
    <xf numFmtId="0" fontId="0" fillId="2" borderId="5" xfId="0" applyFill="1" applyBorder="1" applyAlignment="1">
      <alignment horizontal="left" vertical="top"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0" xfId="0" applyFill="1" applyAlignment="1">
      <alignment horizontal="left" vertical="top" wrapText="1"/>
    </xf>
    <xf numFmtId="0" fontId="0" fillId="2" borderId="9" xfId="0" applyFill="1" applyBorder="1" applyAlignment="1">
      <alignment horizontal="left" vertical="top" wrapText="1"/>
    </xf>
    <xf numFmtId="0" fontId="0" fillId="2" borderId="10" xfId="0" applyFill="1" applyBorder="1" applyAlignment="1">
      <alignment horizontal="left" vertical="top" wrapText="1"/>
    </xf>
    <xf numFmtId="0" fontId="0" fillId="2" borderId="11" xfId="0" applyFill="1" applyBorder="1" applyAlignment="1">
      <alignment horizontal="left" vertical="top" wrapText="1"/>
    </xf>
    <xf numFmtId="0" fontId="0" fillId="2" borderId="12" xfId="0" applyFill="1" applyBorder="1" applyAlignment="1">
      <alignment horizontal="left" vertical="top" wrapText="1"/>
    </xf>
    <xf numFmtId="0" fontId="0" fillId="2" borderId="13" xfId="0" applyFill="1" applyBorder="1" applyAlignment="1">
      <alignment horizontal="left" vertical="top"/>
    </xf>
    <xf numFmtId="0" fontId="0" fillId="2" borderId="1" xfId="0" applyFill="1" applyBorder="1" applyAlignment="1">
      <alignment horizontal="left" vertical="top"/>
    </xf>
    <xf numFmtId="0" fontId="0" fillId="2" borderId="1" xfId="0" applyFill="1" applyBorder="1" applyAlignment="1">
      <alignment horizontal="center" vertical="center"/>
    </xf>
    <xf numFmtId="0" fontId="4" fillId="0" borderId="14" xfId="0" applyFont="1" applyBorder="1" applyAlignment="1">
      <alignment horizontal="left" vertical="top" wrapText="1"/>
    </xf>
    <xf numFmtId="0" fontId="4" fillId="0" borderId="15" xfId="0" applyFont="1" applyBorder="1" applyAlignment="1">
      <alignment horizontal="left" vertical="top" wrapText="1"/>
    </xf>
    <xf numFmtId="0" fontId="4" fillId="0" borderId="16" xfId="0" applyFont="1" applyBorder="1" applyAlignment="1">
      <alignment horizontal="left" vertical="top" wrapText="1"/>
    </xf>
    <xf numFmtId="0" fontId="0" fillId="2" borderId="13"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6</xdr:row>
      <xdr:rowOff>1</xdr:rowOff>
    </xdr:from>
    <xdr:to>
      <xdr:col>1</xdr:col>
      <xdr:colOff>512446</xdr:colOff>
      <xdr:row>8</xdr:row>
      <xdr:rowOff>174155</xdr:rowOff>
    </xdr:to>
    <xdr:pic>
      <xdr:nvPicPr>
        <xdr:cNvPr id="2" name="Picture 1">
          <a:extLst>
            <a:ext uri="{FF2B5EF4-FFF2-40B4-BE49-F238E27FC236}">
              <a16:creationId xmlns:a16="http://schemas.microsoft.com/office/drawing/2014/main" id="{1E3F93C1-D402-15C2-87CD-F9A1BF8D265F}"/>
            </a:ext>
          </a:extLst>
        </xdr:cNvPr>
        <xdr:cNvPicPr>
          <a:picLocks noChangeAspect="1"/>
        </xdr:cNvPicPr>
      </xdr:nvPicPr>
      <xdr:blipFill>
        <a:blip xmlns:r="http://schemas.openxmlformats.org/officeDocument/2006/relationships" r:embed="rId1"/>
        <a:stretch>
          <a:fillRect/>
        </a:stretch>
      </xdr:blipFill>
      <xdr:spPr>
        <a:xfrm>
          <a:off x="1" y="1143001"/>
          <a:ext cx="1200150" cy="547534"/>
        </a:xfrm>
        <a:prstGeom prst="rect">
          <a:avLst/>
        </a:prstGeom>
      </xdr:spPr>
    </xdr:pic>
    <xdr:clientData/>
  </xdr:twoCellAnchor>
  <xdr:oneCellAnchor>
    <xdr:from>
      <xdr:col>3</xdr:col>
      <xdr:colOff>190500</xdr:colOff>
      <xdr:row>6</xdr:row>
      <xdr:rowOff>4762</xdr:rowOff>
    </xdr:from>
    <xdr:ext cx="109774" cy="17511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63E8C1A3-02EB-254E-7AB8-035983445EE1}"/>
                </a:ext>
              </a:extLst>
            </xdr:cNvPr>
            <xdr:cNvSpPr txBox="1"/>
          </xdr:nvSpPr>
          <xdr:spPr>
            <a:xfrm>
              <a:off x="2019300" y="1147762"/>
              <a:ext cx="109774" cy="175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n-US" sz="1100" i="1">
                            <a:latin typeface="Cambria Math" panose="02040503050406030204" pitchFamily="18" charset="0"/>
                          </a:rPr>
                        </m:ctrlPr>
                      </m:accPr>
                      <m:e>
                        <m:r>
                          <a:rPr lang="en-US" sz="1100" b="0" i="1">
                            <a:latin typeface="Cambria Math" panose="02040503050406030204" pitchFamily="18" charset="0"/>
                          </a:rPr>
                          <m:t>𝐿</m:t>
                        </m:r>
                      </m:e>
                    </m:acc>
                  </m:oMath>
                </m:oMathPara>
              </a14:m>
              <a:endParaRPr lang="en-US" sz="1100"/>
            </a:p>
          </xdr:txBody>
        </xdr:sp>
      </mc:Choice>
      <mc:Fallback xmlns="">
        <xdr:sp macro="" textlink="">
          <xdr:nvSpPr>
            <xdr:cNvPr id="4" name="TextBox 3">
              <a:extLst>
                <a:ext uri="{FF2B5EF4-FFF2-40B4-BE49-F238E27FC236}">
                  <a16:creationId xmlns:a16="http://schemas.microsoft.com/office/drawing/2014/main" id="{63E8C1A3-02EB-254E-7AB8-035983445EE1}"/>
                </a:ext>
              </a:extLst>
            </xdr:cNvPr>
            <xdr:cNvSpPr txBox="1"/>
          </xdr:nvSpPr>
          <xdr:spPr>
            <a:xfrm>
              <a:off x="2019300" y="1147762"/>
              <a:ext cx="109774" cy="175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US" sz="1100" b="0" i="0">
                  <a:latin typeface="Cambria Math" panose="02040503050406030204" pitchFamily="18" charset="0"/>
                </a:rPr>
                <a:t>𝐿 ̅</a:t>
              </a:r>
              <a:endParaRPr lang="en-US" sz="11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1"/>
  <sheetViews>
    <sheetView tabSelected="1" workbookViewId="0">
      <selection activeCell="M35" sqref="M35"/>
    </sheetView>
  </sheetViews>
  <sheetFormatPr defaultRowHeight="14.4" x14ac:dyDescent="0.3"/>
  <cols>
    <col min="1" max="1" width="10.109375" customWidth="1"/>
  </cols>
  <sheetData>
    <row r="1" spans="1:10" ht="15" thickBot="1" x14ac:dyDescent="0.35">
      <c r="A1" s="37" t="s">
        <v>0</v>
      </c>
      <c r="B1" s="38"/>
      <c r="C1" s="39"/>
      <c r="D1" s="1"/>
    </row>
    <row r="2" spans="1:10" ht="15" thickBot="1" x14ac:dyDescent="0.35"/>
    <row r="3" spans="1:10" x14ac:dyDescent="0.3">
      <c r="A3" s="46" t="s">
        <v>1</v>
      </c>
      <c r="B3" s="47"/>
      <c r="C3" s="47"/>
      <c r="D3" s="47"/>
      <c r="E3" s="47"/>
      <c r="F3" s="47"/>
      <c r="G3" s="47"/>
      <c r="H3" s="47"/>
      <c r="I3" s="47"/>
      <c r="J3" s="48"/>
    </row>
    <row r="4" spans="1:10" x14ac:dyDescent="0.3">
      <c r="A4" s="49"/>
      <c r="B4" s="50"/>
      <c r="C4" s="50"/>
      <c r="D4" s="50"/>
      <c r="E4" s="50"/>
      <c r="F4" s="50"/>
      <c r="G4" s="50"/>
      <c r="H4" s="50"/>
      <c r="I4" s="50"/>
      <c r="J4" s="51"/>
    </row>
    <row r="5" spans="1:10" ht="15" thickBot="1" x14ac:dyDescent="0.35">
      <c r="A5" s="52"/>
      <c r="B5" s="53"/>
      <c r="C5" s="53"/>
      <c r="D5" s="53"/>
      <c r="E5" s="53"/>
      <c r="F5" s="53"/>
      <c r="G5" s="53"/>
      <c r="H5" s="53"/>
      <c r="I5" s="53"/>
      <c r="J5" s="54"/>
    </row>
    <row r="6" spans="1:10" x14ac:dyDescent="0.3">
      <c r="A6" s="8"/>
      <c r="J6" s="9"/>
    </row>
    <row r="7" spans="1:10" x14ac:dyDescent="0.3">
      <c r="A7" s="8" t="s">
        <v>2</v>
      </c>
      <c r="E7" t="s">
        <v>3</v>
      </c>
      <c r="H7" s="10">
        <f>((3*5)+(4*10)+(2*6)+(3*9))/30</f>
        <v>3.1333333333333333</v>
      </c>
      <c r="J7" s="9"/>
    </row>
    <row r="8" spans="1:10" x14ac:dyDescent="0.3">
      <c r="A8" s="8"/>
      <c r="J8" s="9"/>
    </row>
    <row r="9" spans="1:10" x14ac:dyDescent="0.3">
      <c r="A9" s="8"/>
      <c r="J9" s="9"/>
    </row>
    <row r="10" spans="1:10" ht="15" thickBot="1" x14ac:dyDescent="0.35">
      <c r="A10" s="11"/>
      <c r="B10" s="12"/>
      <c r="C10" s="12"/>
      <c r="D10" s="12"/>
      <c r="E10" s="12"/>
      <c r="F10" s="12"/>
      <c r="G10" s="12"/>
      <c r="H10" s="12"/>
      <c r="I10" s="12"/>
      <c r="J10" s="13"/>
    </row>
    <row r="11" spans="1:10" ht="15" thickBot="1" x14ac:dyDescent="0.35"/>
    <row r="12" spans="1:10" ht="15" customHeight="1" x14ac:dyDescent="0.3">
      <c r="A12" s="46" t="s">
        <v>4</v>
      </c>
      <c r="B12" s="55"/>
      <c r="C12" s="55"/>
      <c r="D12" s="55"/>
      <c r="E12" s="55"/>
      <c r="F12" s="55"/>
      <c r="G12" s="55"/>
      <c r="H12" s="55"/>
      <c r="I12" s="55"/>
      <c r="J12" s="56"/>
    </row>
    <row r="13" spans="1:10" x14ac:dyDescent="0.3">
      <c r="A13" s="57"/>
      <c r="B13" s="58"/>
      <c r="C13" s="58"/>
      <c r="D13" s="58"/>
      <c r="E13" s="58"/>
      <c r="F13" s="58"/>
      <c r="G13" s="58"/>
      <c r="H13" s="58"/>
      <c r="I13" s="58"/>
      <c r="J13" s="59"/>
    </row>
    <row r="14" spans="1:10" x14ac:dyDescent="0.3">
      <c r="A14" s="57"/>
      <c r="B14" s="58"/>
      <c r="C14" s="58"/>
      <c r="D14" s="58"/>
      <c r="E14" s="58"/>
      <c r="F14" s="58"/>
      <c r="G14" s="58"/>
      <c r="H14" s="58"/>
      <c r="I14" s="58"/>
      <c r="J14" s="59"/>
    </row>
    <row r="15" spans="1:10" x14ac:dyDescent="0.3">
      <c r="A15" s="57"/>
      <c r="B15" s="58"/>
      <c r="C15" s="58"/>
      <c r="D15" s="58"/>
      <c r="E15" s="58"/>
      <c r="F15" s="58"/>
      <c r="G15" s="58"/>
      <c r="H15" s="58"/>
      <c r="I15" s="58"/>
      <c r="J15" s="59"/>
    </row>
    <row r="16" spans="1:10" x14ac:dyDescent="0.3">
      <c r="A16" s="57"/>
      <c r="B16" s="58"/>
      <c r="C16" s="58"/>
      <c r="D16" s="58"/>
      <c r="E16" s="58"/>
      <c r="F16" s="58"/>
      <c r="G16" s="58"/>
      <c r="H16" s="58"/>
      <c r="I16" s="58"/>
      <c r="J16" s="59"/>
    </row>
    <row r="17" spans="1:10" x14ac:dyDescent="0.3">
      <c r="A17" s="57"/>
      <c r="B17" s="58"/>
      <c r="C17" s="58"/>
      <c r="D17" s="58"/>
      <c r="E17" s="58"/>
      <c r="F17" s="58"/>
      <c r="G17" s="58"/>
      <c r="H17" s="58"/>
      <c r="I17" s="58"/>
      <c r="J17" s="59"/>
    </row>
    <row r="18" spans="1:10" x14ac:dyDescent="0.3">
      <c r="A18" s="57"/>
      <c r="B18" s="58"/>
      <c r="C18" s="58"/>
      <c r="D18" s="58"/>
      <c r="E18" s="58"/>
      <c r="F18" s="58"/>
      <c r="G18" s="58"/>
      <c r="H18" s="58"/>
      <c r="I18" s="58"/>
      <c r="J18" s="59"/>
    </row>
    <row r="19" spans="1:10" x14ac:dyDescent="0.3">
      <c r="A19" s="57"/>
      <c r="B19" s="58"/>
      <c r="C19" s="58"/>
      <c r="D19" s="58"/>
      <c r="E19" s="58"/>
      <c r="F19" s="58"/>
      <c r="G19" s="58"/>
      <c r="H19" s="58"/>
      <c r="I19" s="58"/>
      <c r="J19" s="59"/>
    </row>
    <row r="20" spans="1:10" x14ac:dyDescent="0.3">
      <c r="A20" s="57"/>
      <c r="B20" s="58"/>
      <c r="C20" s="58"/>
      <c r="D20" s="58"/>
      <c r="E20" s="58"/>
      <c r="F20" s="58"/>
      <c r="G20" s="58"/>
      <c r="H20" s="58"/>
      <c r="I20" s="58"/>
      <c r="J20" s="59"/>
    </row>
    <row r="21" spans="1:10" x14ac:dyDescent="0.3">
      <c r="A21" s="57"/>
      <c r="B21" s="58"/>
      <c r="C21" s="58"/>
      <c r="D21" s="58"/>
      <c r="E21" s="58"/>
      <c r="F21" s="58"/>
      <c r="G21" s="58"/>
      <c r="H21" s="58"/>
      <c r="I21" s="58"/>
      <c r="J21" s="59"/>
    </row>
    <row r="22" spans="1:10" x14ac:dyDescent="0.3">
      <c r="A22" s="57"/>
      <c r="B22" s="58"/>
      <c r="C22" s="58"/>
      <c r="D22" s="58"/>
      <c r="E22" s="58"/>
      <c r="F22" s="58"/>
      <c r="G22" s="58"/>
      <c r="H22" s="58"/>
      <c r="I22" s="58"/>
      <c r="J22" s="59"/>
    </row>
    <row r="23" spans="1:10" ht="15" thickBot="1" x14ac:dyDescent="0.35">
      <c r="A23" s="60"/>
      <c r="B23" s="61"/>
      <c r="C23" s="61"/>
      <c r="D23" s="61"/>
      <c r="E23" s="61"/>
      <c r="F23" s="61"/>
      <c r="G23" s="61"/>
      <c r="H23" s="61"/>
      <c r="I23" s="61"/>
      <c r="J23" s="62"/>
    </row>
    <row r="24" spans="1:10" x14ac:dyDescent="0.3">
      <c r="A24" s="14"/>
      <c r="B24" s="2"/>
      <c r="C24" s="2"/>
      <c r="D24" s="2"/>
      <c r="E24" s="2"/>
      <c r="F24" s="2"/>
      <c r="G24" s="2"/>
      <c r="H24" s="2"/>
      <c r="I24" s="2"/>
      <c r="J24" s="15"/>
    </row>
    <row r="25" spans="1:10" ht="43.2" x14ac:dyDescent="0.3">
      <c r="A25" s="16" t="s">
        <v>5</v>
      </c>
      <c r="B25" s="17" t="s">
        <v>6</v>
      </c>
      <c r="C25" s="17" t="s">
        <v>7</v>
      </c>
      <c r="D25" s="17" t="s">
        <v>8</v>
      </c>
      <c r="E25" s="17" t="s">
        <v>9</v>
      </c>
      <c r="F25" s="17" t="s">
        <v>10</v>
      </c>
      <c r="G25" s="17" t="s">
        <v>11</v>
      </c>
      <c r="H25" s="17" t="s">
        <v>12</v>
      </c>
      <c r="I25" s="17" t="s">
        <v>13</v>
      </c>
      <c r="J25" s="18" t="s">
        <v>14</v>
      </c>
    </row>
    <row r="26" spans="1:10" x14ac:dyDescent="0.3">
      <c r="A26" s="16">
        <v>1</v>
      </c>
      <c r="B26" s="19">
        <v>0</v>
      </c>
      <c r="C26" s="19">
        <v>2.2000000000000002</v>
      </c>
      <c r="D26" s="19">
        <v>0</v>
      </c>
      <c r="E26" s="19">
        <v>0</v>
      </c>
      <c r="F26" s="19">
        <v>2.2000000000000002</v>
      </c>
      <c r="G26" s="19">
        <v>0</v>
      </c>
      <c r="H26" s="20">
        <v>0</v>
      </c>
      <c r="I26" s="19">
        <v>0</v>
      </c>
      <c r="J26" s="21">
        <v>1</v>
      </c>
    </row>
    <row r="27" spans="1:10" x14ac:dyDescent="0.3">
      <c r="A27" s="16">
        <v>2</v>
      </c>
      <c r="B27" s="19">
        <v>1.4</v>
      </c>
      <c r="C27" s="19">
        <v>1.2</v>
      </c>
      <c r="D27" s="19">
        <v>1.4</v>
      </c>
      <c r="E27" s="19">
        <v>2.2000000000000002</v>
      </c>
      <c r="F27" s="19">
        <v>3.4</v>
      </c>
      <c r="G27" s="19">
        <v>0.8</v>
      </c>
      <c r="H27" s="20">
        <v>0</v>
      </c>
      <c r="I27" s="19">
        <v>1</v>
      </c>
      <c r="J27" s="21">
        <v>0</v>
      </c>
    </row>
    <row r="28" spans="1:10" x14ac:dyDescent="0.3">
      <c r="A28" s="16">
        <v>3</v>
      </c>
      <c r="B28" s="19">
        <v>2.1</v>
      </c>
      <c r="C28" s="19">
        <v>0.3</v>
      </c>
      <c r="D28" s="19">
        <v>3.5</v>
      </c>
      <c r="E28" s="19">
        <v>3.5</v>
      </c>
      <c r="F28" s="19">
        <v>3.8</v>
      </c>
      <c r="G28" s="19">
        <v>0</v>
      </c>
      <c r="H28" s="20">
        <v>0.1</v>
      </c>
      <c r="I28" s="19">
        <v>0</v>
      </c>
      <c r="J28" s="21">
        <v>0</v>
      </c>
    </row>
    <row r="29" spans="1:10" x14ac:dyDescent="0.3">
      <c r="A29" s="16">
        <v>4</v>
      </c>
      <c r="B29" s="19">
        <v>1.9</v>
      </c>
      <c r="C29" s="19">
        <v>2.8</v>
      </c>
      <c r="D29" s="19">
        <v>5.4</v>
      </c>
      <c r="E29" s="19">
        <v>5.4</v>
      </c>
      <c r="F29" s="19">
        <v>8.1999999999999993</v>
      </c>
      <c r="G29" s="19">
        <v>0</v>
      </c>
      <c r="H29" s="20">
        <v>1.6</v>
      </c>
      <c r="I29" s="19">
        <v>0</v>
      </c>
      <c r="J29" s="21">
        <v>2</v>
      </c>
    </row>
    <row r="30" spans="1:10" x14ac:dyDescent="0.3">
      <c r="A30" s="16">
        <v>5</v>
      </c>
      <c r="B30" s="19">
        <v>0.2</v>
      </c>
      <c r="C30" s="19">
        <v>0.2</v>
      </c>
      <c r="D30" s="19">
        <v>5.6</v>
      </c>
      <c r="E30" s="19">
        <v>8.1999999999999993</v>
      </c>
      <c r="F30" s="19">
        <v>8.4</v>
      </c>
      <c r="G30" s="19">
        <v>2.6</v>
      </c>
      <c r="H30" s="20">
        <v>0</v>
      </c>
      <c r="I30" s="19">
        <v>2</v>
      </c>
      <c r="J30" s="21">
        <v>1</v>
      </c>
    </row>
    <row r="31" spans="1:10" x14ac:dyDescent="0.3">
      <c r="A31" s="16">
        <v>6</v>
      </c>
      <c r="B31" s="19">
        <v>1.5</v>
      </c>
      <c r="C31" s="19">
        <v>1.8</v>
      </c>
      <c r="D31" s="19">
        <v>7.1</v>
      </c>
      <c r="E31" s="19">
        <v>8.4</v>
      </c>
      <c r="F31" s="19">
        <v>10.199999999999999</v>
      </c>
      <c r="G31" s="19">
        <v>1.3</v>
      </c>
      <c r="H31" s="20">
        <v>0</v>
      </c>
      <c r="I31" s="19">
        <v>1</v>
      </c>
      <c r="J31" s="21">
        <v>0</v>
      </c>
    </row>
    <row r="32" spans="1:10" x14ac:dyDescent="0.3">
      <c r="A32" s="8"/>
      <c r="C32" s="19">
        <f>SUM(C26:C31)</f>
        <v>8.5</v>
      </c>
      <c r="D32" s="19"/>
      <c r="E32" s="19"/>
      <c r="F32" s="19"/>
      <c r="G32" s="19">
        <f>SUM(G26:G31)</f>
        <v>4.7</v>
      </c>
      <c r="H32" s="20">
        <f>SUM(H26:H31)</f>
        <v>1.7000000000000002</v>
      </c>
      <c r="I32" s="19"/>
      <c r="J32" s="21"/>
    </row>
    <row r="33" spans="1:10" ht="28.8" x14ac:dyDescent="0.3">
      <c r="A33" s="22" t="s">
        <v>15</v>
      </c>
      <c r="B33" s="4">
        <v>0</v>
      </c>
      <c r="C33" s="65" t="s">
        <v>34</v>
      </c>
      <c r="D33" s="66"/>
      <c r="E33" s="66"/>
      <c r="F33" s="66"/>
      <c r="G33" s="66"/>
      <c r="H33" s="66"/>
      <c r="I33" s="67"/>
      <c r="J33" s="9"/>
    </row>
    <row r="34" spans="1:10" ht="28.8" x14ac:dyDescent="0.3">
      <c r="A34" s="22" t="s">
        <v>16</v>
      </c>
      <c r="B34" s="4">
        <v>2</v>
      </c>
      <c r="C34" s="65" t="s">
        <v>37</v>
      </c>
      <c r="D34" s="66"/>
      <c r="E34" s="66"/>
      <c r="F34" s="66"/>
      <c r="G34" s="66"/>
      <c r="H34" s="66"/>
      <c r="I34" s="67"/>
      <c r="J34" s="9"/>
    </row>
    <row r="35" spans="1:10" ht="28.8" x14ac:dyDescent="0.3">
      <c r="A35" s="22" t="s">
        <v>18</v>
      </c>
      <c r="B35" s="4">
        <f>G32</f>
        <v>4.7</v>
      </c>
      <c r="C35" s="6" t="s">
        <v>20</v>
      </c>
      <c r="D35" s="6"/>
      <c r="E35" s="6"/>
      <c r="F35" s="6"/>
      <c r="G35" s="6"/>
      <c r="H35" s="6"/>
      <c r="I35" s="7"/>
      <c r="J35" s="9"/>
    </row>
    <row r="36" spans="1:10" ht="28.8" x14ac:dyDescent="0.3">
      <c r="A36" s="22" t="s">
        <v>38</v>
      </c>
      <c r="B36" s="43">
        <f>G32/6</f>
        <v>0.78333333333333333</v>
      </c>
      <c r="C36" s="44" t="s">
        <v>39</v>
      </c>
      <c r="D36" s="44"/>
      <c r="E36" s="44"/>
      <c r="F36" s="44"/>
      <c r="G36" s="44"/>
      <c r="H36" s="44"/>
      <c r="I36" s="45"/>
      <c r="J36" s="9"/>
    </row>
    <row r="37" spans="1:10" ht="28.8" x14ac:dyDescent="0.3">
      <c r="A37" s="22" t="s">
        <v>19</v>
      </c>
      <c r="B37" s="5">
        <f>H32</f>
        <v>1.7000000000000002</v>
      </c>
      <c r="C37" s="65" t="s">
        <v>35</v>
      </c>
      <c r="D37" s="66"/>
      <c r="E37" s="66"/>
      <c r="F37" s="66"/>
      <c r="G37" s="66"/>
      <c r="H37" s="66"/>
      <c r="I37" s="67"/>
      <c r="J37" s="9"/>
    </row>
    <row r="38" spans="1:10" ht="28.5" customHeight="1" x14ac:dyDescent="0.3">
      <c r="A38" s="22" t="s">
        <v>17</v>
      </c>
      <c r="B38" s="4">
        <f>C32/F31</f>
        <v>0.83333333333333337</v>
      </c>
      <c r="C38" s="65" t="s">
        <v>36</v>
      </c>
      <c r="D38" s="66"/>
      <c r="E38" s="66"/>
      <c r="F38" s="66"/>
      <c r="G38" s="66"/>
      <c r="H38" s="66"/>
      <c r="I38" s="67"/>
      <c r="J38" s="9"/>
    </row>
    <row r="39" spans="1:10" ht="15" thickBot="1" x14ac:dyDescent="0.35">
      <c r="A39" s="11"/>
      <c r="B39" s="12"/>
      <c r="C39" s="12"/>
      <c r="D39" s="12"/>
      <c r="E39" s="12"/>
      <c r="F39" s="12"/>
      <c r="G39" s="12"/>
      <c r="H39" s="12"/>
      <c r="I39" s="12"/>
      <c r="J39" s="13"/>
    </row>
    <row r="40" spans="1:10" ht="15" thickBot="1" x14ac:dyDescent="0.35"/>
    <row r="41" spans="1:10" ht="82.5" customHeight="1" thickBot="1" x14ac:dyDescent="0.35">
      <c r="A41" s="68" t="s">
        <v>21</v>
      </c>
      <c r="B41" s="69"/>
      <c r="C41" s="69"/>
      <c r="D41" s="69"/>
      <c r="E41" s="69"/>
      <c r="F41" s="69"/>
      <c r="G41" s="69"/>
      <c r="H41" s="69"/>
      <c r="I41" s="69"/>
      <c r="J41" s="70"/>
    </row>
    <row r="42" spans="1:10" x14ac:dyDescent="0.3">
      <c r="A42" s="29"/>
      <c r="B42" s="30"/>
      <c r="C42" s="30"/>
      <c r="D42" s="30"/>
      <c r="E42" s="30"/>
      <c r="F42" s="30"/>
      <c r="G42" s="30"/>
      <c r="H42" s="30"/>
      <c r="I42" s="30"/>
      <c r="J42" s="31"/>
    </row>
    <row r="43" spans="1:10" ht="43.2" x14ac:dyDescent="0.3">
      <c r="A43" s="32" t="s">
        <v>22</v>
      </c>
      <c r="B43" s="24" t="s">
        <v>23</v>
      </c>
      <c r="C43" s="24" t="s">
        <v>7</v>
      </c>
      <c r="D43" s="24" t="s">
        <v>24</v>
      </c>
      <c r="E43" s="24" t="s">
        <v>25</v>
      </c>
      <c r="F43" s="24" t="s">
        <v>26</v>
      </c>
      <c r="G43" s="26" t="s">
        <v>11</v>
      </c>
      <c r="H43" s="26" t="s">
        <v>12</v>
      </c>
      <c r="I43" s="40"/>
      <c r="J43" s="18"/>
    </row>
    <row r="44" spans="1:10" x14ac:dyDescent="0.3">
      <c r="A44" s="33">
        <v>1</v>
      </c>
      <c r="B44" s="25">
        <v>0</v>
      </c>
      <c r="C44" s="25">
        <v>2.5</v>
      </c>
      <c r="D44" s="25">
        <v>0</v>
      </c>
      <c r="E44" s="25">
        <v>0</v>
      </c>
      <c r="F44" s="25">
        <v>2.5</v>
      </c>
      <c r="G44" s="27">
        <v>0</v>
      </c>
      <c r="H44" s="27">
        <v>0</v>
      </c>
      <c r="I44" s="41"/>
      <c r="J44" s="9"/>
    </row>
    <row r="45" spans="1:10" x14ac:dyDescent="0.3">
      <c r="A45" s="33">
        <v>2</v>
      </c>
      <c r="B45" s="25">
        <v>1</v>
      </c>
      <c r="C45" s="25"/>
      <c r="D45" s="25">
        <v>1</v>
      </c>
      <c r="E45" s="25"/>
      <c r="F45" s="25"/>
      <c r="G45" s="27"/>
      <c r="H45" s="27"/>
      <c r="I45" s="42"/>
      <c r="J45" s="9"/>
    </row>
    <row r="46" spans="1:10" x14ac:dyDescent="0.3">
      <c r="A46" s="33">
        <v>3</v>
      </c>
      <c r="B46" s="25">
        <v>1</v>
      </c>
      <c r="C46" s="25">
        <v>2</v>
      </c>
      <c r="D46" s="25">
        <v>2</v>
      </c>
      <c r="E46" s="25">
        <v>2.5</v>
      </c>
      <c r="F46" s="25">
        <v>4.5</v>
      </c>
      <c r="G46" s="27">
        <v>0.5</v>
      </c>
      <c r="H46" s="27">
        <v>0</v>
      </c>
      <c r="I46" s="42" t="s">
        <v>30</v>
      </c>
      <c r="J46" s="9"/>
    </row>
    <row r="47" spans="1:10" x14ac:dyDescent="0.3">
      <c r="A47" s="33">
        <v>4</v>
      </c>
      <c r="B47" s="25">
        <v>1</v>
      </c>
      <c r="C47" s="25"/>
      <c r="D47" s="25">
        <v>3</v>
      </c>
      <c r="E47" s="25"/>
      <c r="F47" s="25"/>
      <c r="G47" s="27"/>
      <c r="H47" s="27"/>
      <c r="I47" s="42"/>
      <c r="J47" s="9"/>
    </row>
    <row r="48" spans="1:10" x14ac:dyDescent="0.3">
      <c r="A48" s="33">
        <v>5</v>
      </c>
      <c r="B48" s="25">
        <v>1</v>
      </c>
      <c r="C48" s="25">
        <v>3</v>
      </c>
      <c r="D48" s="25">
        <v>4</v>
      </c>
      <c r="E48" s="25">
        <v>4.5</v>
      </c>
      <c r="F48" s="25">
        <v>7.5</v>
      </c>
      <c r="G48" s="27">
        <v>0.5</v>
      </c>
      <c r="H48" s="27">
        <v>0</v>
      </c>
      <c r="I48" s="42"/>
      <c r="J48" s="9"/>
    </row>
    <row r="49" spans="1:10" x14ac:dyDescent="0.3">
      <c r="A49" s="33">
        <v>6</v>
      </c>
      <c r="B49" s="25">
        <v>1</v>
      </c>
      <c r="C49" s="25">
        <v>1.5</v>
      </c>
      <c r="D49" s="25">
        <v>5</v>
      </c>
      <c r="E49" s="25">
        <v>7.5</v>
      </c>
      <c r="F49" s="25">
        <v>9</v>
      </c>
      <c r="G49" s="27">
        <v>2.5</v>
      </c>
      <c r="H49" s="27">
        <v>0</v>
      </c>
      <c r="I49" s="42" t="s">
        <v>30</v>
      </c>
      <c r="J49" s="9"/>
    </row>
    <row r="50" spans="1:10" x14ac:dyDescent="0.3">
      <c r="A50" s="33">
        <v>7</v>
      </c>
      <c r="B50" s="25">
        <v>1</v>
      </c>
      <c r="C50" s="25"/>
      <c r="D50" s="25">
        <v>6</v>
      </c>
      <c r="E50" s="25"/>
      <c r="F50" s="25"/>
      <c r="G50" s="27"/>
      <c r="H50" s="27"/>
      <c r="I50" s="42"/>
      <c r="J50" s="9"/>
    </row>
    <row r="51" spans="1:10" x14ac:dyDescent="0.3">
      <c r="A51" s="33">
        <v>8</v>
      </c>
      <c r="B51" s="25">
        <v>1</v>
      </c>
      <c r="C51" s="25">
        <v>2</v>
      </c>
      <c r="D51" s="25">
        <v>7</v>
      </c>
      <c r="E51" s="25">
        <v>9</v>
      </c>
      <c r="F51" s="25">
        <v>11</v>
      </c>
      <c r="G51" s="27">
        <v>2</v>
      </c>
      <c r="H51" s="27">
        <v>0</v>
      </c>
      <c r="I51" s="42" t="s">
        <v>30</v>
      </c>
      <c r="J51" s="9"/>
    </row>
    <row r="52" spans="1:10" x14ac:dyDescent="0.3">
      <c r="A52" s="33">
        <v>9</v>
      </c>
      <c r="B52" s="25">
        <v>1</v>
      </c>
      <c r="C52" s="25">
        <v>1</v>
      </c>
      <c r="D52" s="25">
        <v>8</v>
      </c>
      <c r="E52" s="25">
        <v>11</v>
      </c>
      <c r="F52" s="25">
        <v>12</v>
      </c>
      <c r="G52" s="27">
        <v>3</v>
      </c>
      <c r="H52" s="27">
        <v>0</v>
      </c>
      <c r="I52" s="42"/>
      <c r="J52" s="9"/>
    </row>
    <row r="53" spans="1:10" x14ac:dyDescent="0.3">
      <c r="A53" s="33">
        <v>10</v>
      </c>
      <c r="B53" s="25">
        <v>1</v>
      </c>
      <c r="C53" s="25"/>
      <c r="D53" s="25">
        <v>9</v>
      </c>
      <c r="E53" s="25"/>
      <c r="F53" s="25"/>
      <c r="G53" s="27"/>
      <c r="H53" s="27"/>
      <c r="I53" s="42"/>
      <c r="J53" s="9"/>
    </row>
    <row r="54" spans="1:10" x14ac:dyDescent="0.3">
      <c r="A54" s="33">
        <v>11</v>
      </c>
      <c r="B54" s="25">
        <v>1</v>
      </c>
      <c r="C54" s="25"/>
      <c r="D54" s="25">
        <v>10</v>
      </c>
      <c r="E54" s="25"/>
      <c r="F54" s="25"/>
      <c r="G54" s="27"/>
      <c r="H54" s="27"/>
      <c r="I54" s="42"/>
      <c r="J54" s="9"/>
    </row>
    <row r="55" spans="1:10" x14ac:dyDescent="0.3">
      <c r="A55" s="33">
        <v>12</v>
      </c>
      <c r="B55" s="25">
        <v>1</v>
      </c>
      <c r="C55" s="25"/>
      <c r="D55" s="25">
        <v>11</v>
      </c>
      <c r="E55" s="25"/>
      <c r="F55" s="25"/>
      <c r="G55" s="27"/>
      <c r="H55" s="27"/>
      <c r="I55" s="42"/>
      <c r="J55" s="9"/>
    </row>
    <row r="56" spans="1:10" x14ac:dyDescent="0.3">
      <c r="A56" s="33">
        <v>13</v>
      </c>
      <c r="B56" s="25">
        <v>1</v>
      </c>
      <c r="C56" s="25">
        <v>2</v>
      </c>
      <c r="D56" s="25">
        <v>12</v>
      </c>
      <c r="E56" s="25">
        <v>12</v>
      </c>
      <c r="F56" s="25">
        <v>14</v>
      </c>
      <c r="G56" s="27">
        <v>0</v>
      </c>
      <c r="H56" s="27">
        <v>0</v>
      </c>
      <c r="I56" s="42"/>
      <c r="J56" s="9"/>
    </row>
    <row r="57" spans="1:10" x14ac:dyDescent="0.3">
      <c r="A57" s="33">
        <v>14</v>
      </c>
      <c r="B57" s="25">
        <v>1</v>
      </c>
      <c r="C57" s="25"/>
      <c r="D57" s="25">
        <v>13</v>
      </c>
      <c r="E57" s="25"/>
      <c r="F57" s="25"/>
      <c r="G57" s="27"/>
      <c r="H57" s="27"/>
      <c r="I57" s="42"/>
      <c r="J57" s="9"/>
    </row>
    <row r="58" spans="1:10" x14ac:dyDescent="0.3">
      <c r="A58" s="33">
        <v>15</v>
      </c>
      <c r="B58" s="25">
        <v>1</v>
      </c>
      <c r="C58" s="25"/>
      <c r="D58" s="25">
        <v>14</v>
      </c>
      <c r="E58" s="25"/>
      <c r="F58" s="25"/>
      <c r="G58" s="27"/>
      <c r="H58" s="27"/>
      <c r="I58" s="42"/>
      <c r="J58" s="9"/>
    </row>
    <row r="59" spans="1:10" x14ac:dyDescent="0.3">
      <c r="A59" s="33">
        <v>16</v>
      </c>
      <c r="B59" s="25">
        <v>1</v>
      </c>
      <c r="C59" s="25">
        <v>0.5</v>
      </c>
      <c r="D59" s="25">
        <v>15</v>
      </c>
      <c r="E59" s="25">
        <v>15</v>
      </c>
      <c r="F59" s="25">
        <v>15.5</v>
      </c>
      <c r="G59" s="27">
        <v>0</v>
      </c>
      <c r="H59" s="27">
        <v>1</v>
      </c>
      <c r="I59" s="42"/>
      <c r="J59" s="9"/>
    </row>
    <row r="60" spans="1:10" x14ac:dyDescent="0.3">
      <c r="A60" s="33">
        <v>17</v>
      </c>
      <c r="B60" s="25">
        <v>1</v>
      </c>
      <c r="C60" s="25"/>
      <c r="D60" s="25">
        <v>16</v>
      </c>
      <c r="E60" s="25"/>
      <c r="F60" s="25"/>
      <c r="G60" s="27"/>
      <c r="H60" s="27"/>
      <c r="I60" s="42"/>
      <c r="J60" s="9"/>
    </row>
    <row r="61" spans="1:10" x14ac:dyDescent="0.3">
      <c r="A61" s="33">
        <v>18</v>
      </c>
      <c r="B61" s="25">
        <v>1</v>
      </c>
      <c r="C61" s="25">
        <v>1.5</v>
      </c>
      <c r="D61" s="25">
        <v>17</v>
      </c>
      <c r="E61" s="25">
        <v>17</v>
      </c>
      <c r="F61" s="25">
        <v>18.5</v>
      </c>
      <c r="G61" s="27">
        <v>0</v>
      </c>
      <c r="H61" s="27">
        <v>1.5</v>
      </c>
      <c r="I61" s="42"/>
      <c r="J61" s="9"/>
    </row>
    <row r="62" spans="1:10" x14ac:dyDescent="0.3">
      <c r="A62" s="33">
        <v>19</v>
      </c>
      <c r="B62" s="25">
        <v>1</v>
      </c>
      <c r="C62" s="25">
        <v>3</v>
      </c>
      <c r="D62" s="25">
        <v>18</v>
      </c>
      <c r="E62" s="25">
        <v>18.5</v>
      </c>
      <c r="F62" s="25">
        <v>21.5</v>
      </c>
      <c r="G62" s="27">
        <v>0.5</v>
      </c>
      <c r="H62" s="27"/>
      <c r="I62" s="42" t="s">
        <v>30</v>
      </c>
      <c r="J62" s="9"/>
    </row>
    <row r="63" spans="1:10" x14ac:dyDescent="0.3">
      <c r="A63" s="33">
        <v>20</v>
      </c>
      <c r="B63" s="25">
        <v>1</v>
      </c>
      <c r="C63" s="35"/>
      <c r="D63" s="35">
        <v>19</v>
      </c>
      <c r="E63" s="35"/>
      <c r="F63" s="35"/>
      <c r="G63" s="36"/>
      <c r="H63" s="36"/>
      <c r="I63" s="42"/>
      <c r="J63" s="9"/>
    </row>
    <row r="64" spans="1:10" x14ac:dyDescent="0.3">
      <c r="A64" s="8"/>
      <c r="B64" s="42"/>
      <c r="C64" s="27">
        <f>SUM(C44:C63)</f>
        <v>19</v>
      </c>
      <c r="D64" s="3"/>
      <c r="E64" s="3"/>
      <c r="F64" s="3"/>
      <c r="G64" s="23">
        <f>SUM(G44:G63)</f>
        <v>9</v>
      </c>
      <c r="H64" s="23">
        <f>SUM(H44:H63)</f>
        <v>2.5</v>
      </c>
      <c r="I64" s="42"/>
      <c r="J64" s="9"/>
    </row>
    <row r="65" spans="1:14" x14ac:dyDescent="0.3">
      <c r="A65" s="8"/>
      <c r="B65" s="42"/>
      <c r="C65" s="42"/>
      <c r="D65" s="42"/>
      <c r="E65" s="42"/>
      <c r="F65" s="42"/>
      <c r="G65" s="42"/>
      <c r="H65" s="42"/>
      <c r="I65" s="42"/>
      <c r="J65" s="9"/>
    </row>
    <row r="66" spans="1:14" x14ac:dyDescent="0.3">
      <c r="A66" s="86" t="s">
        <v>27</v>
      </c>
      <c r="B66" s="63"/>
      <c r="C66" s="63"/>
      <c r="D66" s="82">
        <f>9/10</f>
        <v>0.9</v>
      </c>
      <c r="E66" s="63" t="s">
        <v>29</v>
      </c>
      <c r="F66" s="63"/>
      <c r="G66" s="63"/>
      <c r="H66" s="63"/>
      <c r="I66" s="42"/>
      <c r="J66" s="9"/>
    </row>
    <row r="67" spans="1:14" x14ac:dyDescent="0.3">
      <c r="A67" s="86"/>
      <c r="B67" s="63"/>
      <c r="C67" s="63"/>
      <c r="D67" s="82"/>
      <c r="E67" s="63"/>
      <c r="F67" s="63"/>
      <c r="G67" s="63"/>
      <c r="H67" s="63"/>
      <c r="I67" s="42"/>
      <c r="J67" s="9"/>
    </row>
    <row r="68" spans="1:14" x14ac:dyDescent="0.3">
      <c r="A68" s="8"/>
      <c r="B68" s="42"/>
      <c r="C68" s="42"/>
      <c r="D68" s="42"/>
      <c r="E68" s="42"/>
      <c r="F68" s="42"/>
      <c r="G68" s="42"/>
      <c r="H68" s="42"/>
      <c r="I68" s="42"/>
      <c r="J68" s="9"/>
    </row>
    <row r="69" spans="1:14" ht="15" customHeight="1" x14ac:dyDescent="0.3">
      <c r="A69" s="80" t="s">
        <v>28</v>
      </c>
      <c r="B69" s="81"/>
      <c r="C69" s="81"/>
      <c r="D69" s="28">
        <f>17.5/20</f>
        <v>0.875</v>
      </c>
      <c r="E69" s="63" t="s">
        <v>33</v>
      </c>
      <c r="F69" s="63"/>
      <c r="G69" s="63"/>
      <c r="H69" s="63"/>
      <c r="I69" s="63"/>
      <c r="J69" s="9"/>
    </row>
    <row r="70" spans="1:14" x14ac:dyDescent="0.3">
      <c r="A70" s="8"/>
      <c r="B70" s="42"/>
      <c r="C70" s="42"/>
      <c r="D70" s="42"/>
      <c r="E70" s="63"/>
      <c r="F70" s="63"/>
      <c r="G70" s="63"/>
      <c r="H70" s="63"/>
      <c r="I70" s="63"/>
      <c r="J70" s="9"/>
    </row>
    <row r="71" spans="1:14" x14ac:dyDescent="0.3">
      <c r="A71" s="8"/>
      <c r="B71" s="42"/>
      <c r="C71" s="42"/>
      <c r="D71" s="42"/>
      <c r="E71" s="63"/>
      <c r="F71" s="63"/>
      <c r="G71" s="63"/>
      <c r="H71" s="63"/>
      <c r="I71" s="63"/>
      <c r="J71" s="9"/>
    </row>
    <row r="72" spans="1:14" ht="15" thickBot="1" x14ac:dyDescent="0.35">
      <c r="A72" s="11"/>
      <c r="B72" s="12"/>
      <c r="C72" s="12"/>
      <c r="D72" s="12"/>
      <c r="E72" s="64"/>
      <c r="F72" s="64"/>
      <c r="G72" s="64"/>
      <c r="H72" s="64"/>
      <c r="I72" s="64"/>
      <c r="J72" s="13"/>
    </row>
    <row r="73" spans="1:14" ht="15" thickBot="1" x14ac:dyDescent="0.35"/>
    <row r="74" spans="1:14" ht="114.75" customHeight="1" thickBot="1" x14ac:dyDescent="0.35">
      <c r="A74" s="83" t="s">
        <v>32</v>
      </c>
      <c r="B74" s="84"/>
      <c r="C74" s="84"/>
      <c r="D74" s="84"/>
      <c r="E74" s="84"/>
      <c r="F74" s="84"/>
      <c r="G74" s="84"/>
      <c r="H74" s="84"/>
      <c r="I74" s="84"/>
      <c r="J74" s="85"/>
      <c r="N74" s="34"/>
    </row>
    <row r="75" spans="1:14" ht="15" thickBot="1" x14ac:dyDescent="0.35">
      <c r="A75" s="8"/>
      <c r="J75" s="9"/>
    </row>
    <row r="76" spans="1:14" ht="15" customHeight="1" x14ac:dyDescent="0.3">
      <c r="A76" s="71" t="s">
        <v>31</v>
      </c>
      <c r="B76" s="72"/>
      <c r="C76" s="72"/>
      <c r="D76" s="72"/>
      <c r="E76" s="72"/>
      <c r="F76" s="72"/>
      <c r="G76" s="72"/>
      <c r="H76" s="72"/>
      <c r="I76" s="72"/>
      <c r="J76" s="73"/>
    </row>
    <row r="77" spans="1:14" x14ac:dyDescent="0.3">
      <c r="A77" s="74"/>
      <c r="B77" s="75"/>
      <c r="C77" s="75"/>
      <c r="D77" s="75"/>
      <c r="E77" s="75"/>
      <c r="F77" s="75"/>
      <c r="G77" s="75"/>
      <c r="H77" s="75"/>
      <c r="I77" s="75"/>
      <c r="J77" s="76"/>
    </row>
    <row r="78" spans="1:14" ht="15" thickBot="1" x14ac:dyDescent="0.35">
      <c r="A78" s="77"/>
      <c r="B78" s="78"/>
      <c r="C78" s="78"/>
      <c r="D78" s="78"/>
      <c r="E78" s="78"/>
      <c r="F78" s="78"/>
      <c r="G78" s="78"/>
      <c r="H78" s="78"/>
      <c r="I78" s="78"/>
      <c r="J78" s="79"/>
    </row>
    <row r="79" spans="1:14" x14ac:dyDescent="0.3">
      <c r="A79" s="2"/>
      <c r="B79" s="2"/>
      <c r="C79" s="2"/>
      <c r="D79" s="2"/>
      <c r="E79" s="2"/>
      <c r="F79" s="2"/>
      <c r="G79" s="2"/>
      <c r="H79" s="2"/>
      <c r="I79" s="2"/>
      <c r="J79" s="2"/>
    </row>
    <row r="80" spans="1:14" x14ac:dyDescent="0.3">
      <c r="A80" s="2"/>
      <c r="B80" s="2"/>
      <c r="C80" s="2"/>
      <c r="D80" s="2"/>
      <c r="E80" s="2"/>
      <c r="F80" s="2"/>
      <c r="G80" s="2"/>
      <c r="H80" s="2"/>
      <c r="I80" s="2"/>
      <c r="J80" s="2"/>
    </row>
    <row r="81" spans="1:10" x14ac:dyDescent="0.3">
      <c r="A81" s="2"/>
      <c r="B81" s="2"/>
      <c r="C81" s="2"/>
      <c r="D81" s="2"/>
      <c r="E81" s="2"/>
      <c r="F81" s="2"/>
      <c r="G81" s="2"/>
      <c r="H81" s="2"/>
      <c r="I81" s="2"/>
      <c r="J81" s="2"/>
    </row>
  </sheetData>
  <mergeCells count="14">
    <mergeCell ref="A76:J78"/>
    <mergeCell ref="A69:C69"/>
    <mergeCell ref="D66:D67"/>
    <mergeCell ref="E66:H67"/>
    <mergeCell ref="A74:J74"/>
    <mergeCell ref="A66:C67"/>
    <mergeCell ref="A3:J5"/>
    <mergeCell ref="A12:J23"/>
    <mergeCell ref="E69:I72"/>
    <mergeCell ref="C33:I33"/>
    <mergeCell ref="C34:I34"/>
    <mergeCell ref="C38:I38"/>
    <mergeCell ref="C37:I37"/>
    <mergeCell ref="A41:J41"/>
  </mergeCells>
  <pageMargins left="0.7" right="0.7" top="0.75" bottom="0.75" header="0.3" footer="0.3"/>
  <drawing r:id="rId1"/>
</worksheet>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Damon Nicholson</dc:creator>
  <cp:lastModifiedBy>Nicholson, Damon K CIV USARMY ATEC (USA)</cp:lastModifiedBy>
  <dcterms:created xsi:type="dcterms:W3CDTF">2015-06-05T18:17:20Z</dcterms:created>
  <dcterms:modified xsi:type="dcterms:W3CDTF">2026-01-15T15:40:30Z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cbbd4a6-dc2f-44d9-ad2c-c28d4679873f_Enabled">
    <vt:lpwstr>true</vt:lpwstr>
  </property>
  <property fmtid="{D5CDD505-2E9C-101B-9397-08002B2CF9AE}" pid="3" name="MSIP_Label_acbbd4a6-dc2f-44d9-ad2c-c28d4679873f_SetDate">
    <vt:lpwstr>2026-01-11T23:40:54Z</vt:lpwstr>
  </property>
  <property fmtid="{D5CDD505-2E9C-101B-9397-08002B2CF9AE}" pid="4" name="MSIP_Label_acbbd4a6-dc2f-44d9-ad2c-c28d4679873f_Method">
    <vt:lpwstr>Standard</vt:lpwstr>
  </property>
  <property fmtid="{D5CDD505-2E9C-101B-9397-08002B2CF9AE}" pid="5" name="MSIP_Label_acbbd4a6-dc2f-44d9-ad2c-c28d4679873f_Name">
    <vt:lpwstr>No Label</vt:lpwstr>
  </property>
  <property fmtid="{D5CDD505-2E9C-101B-9397-08002B2CF9AE}" pid="6" name="MSIP_Label_acbbd4a6-dc2f-44d9-ad2c-c28d4679873f_SiteId">
    <vt:lpwstr>6d936231-a517-40ea-9199-f7578963378e</vt:lpwstr>
  </property>
  <property fmtid="{D5CDD505-2E9C-101B-9397-08002B2CF9AE}" pid="7" name="MSIP_Label_acbbd4a6-dc2f-44d9-ad2c-c28d4679873f_ActionId">
    <vt:lpwstr>2e06e24f-0424-4569-82ad-a622a66d4826</vt:lpwstr>
  </property>
  <property fmtid="{D5CDD505-2E9C-101B-9397-08002B2CF9AE}" pid="8" name="MSIP_Label_acbbd4a6-dc2f-44d9-ad2c-c28d4679873f_ContentBits">
    <vt:lpwstr>0</vt:lpwstr>
  </property>
  <property fmtid="{D5CDD505-2E9C-101B-9397-08002B2CF9AE}" pid="9" name="MSIP_Label_acbbd4a6-dc2f-44d9-ad2c-c28d4679873f_Tag">
    <vt:lpwstr>10, 3, 0, 1</vt:lpwstr>
  </property>
</Properties>
</file>