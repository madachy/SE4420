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jgri\Desktop\"/>
    </mc:Choice>
  </mc:AlternateContent>
  <xr:revisionPtr revIDLastSave="0" documentId="13_ncr:1_{445B9F51-DEA2-4A6E-8C5D-1FE7C27C2744}" xr6:coauthVersionLast="47" xr6:coauthVersionMax="47" xr10:uidLastSave="{00000000-0000-0000-0000-000000000000}"/>
  <bookViews>
    <workbookView xWindow="-110" yWindow="-110" windowWidth="25820" windowHeight="15500" xr2:uid="{8E84A0B3-45EA-4B0F-98BD-7B5218E83715}"/>
  </bookViews>
  <sheets>
    <sheet name="Problem 1" sheetId="1" r:id="rId1"/>
    <sheet name="Problem 2" sheetId="2" r:id="rId2"/>
    <sheet name="Problem 3&amp;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 l="1"/>
  <c r="D25" i="3"/>
  <c r="G21" i="3"/>
  <c r="D19" i="3"/>
  <c r="H8" i="3"/>
  <c r="H9" i="3"/>
  <c r="H10" i="3"/>
  <c r="H11" i="3"/>
  <c r="H12" i="3"/>
  <c r="H13" i="3"/>
  <c r="H14" i="3"/>
  <c r="H15" i="3"/>
  <c r="H7" i="3"/>
  <c r="G7" i="3"/>
  <c r="G8" i="3"/>
  <c r="G9" i="3"/>
  <c r="G10" i="3"/>
  <c r="G11" i="3"/>
  <c r="G12" i="3"/>
  <c r="G13" i="3"/>
  <c r="G14" i="3"/>
  <c r="G15" i="3"/>
  <c r="G6" i="3"/>
  <c r="D7" i="3"/>
  <c r="D8" i="3"/>
  <c r="D9" i="3"/>
  <c r="D10" i="3"/>
  <c r="D11" i="3"/>
  <c r="D12" i="3"/>
  <c r="D13" i="3"/>
  <c r="D14" i="3"/>
  <c r="D15" i="3"/>
  <c r="D6" i="3"/>
  <c r="D30" i="2"/>
  <c r="D28" i="2"/>
  <c r="D26" i="2"/>
  <c r="D24" i="2"/>
  <c r="D22" i="2"/>
  <c r="D20" i="2"/>
  <c r="I14" i="2"/>
  <c r="I15" i="2"/>
  <c r="I16" i="2"/>
  <c r="I17" i="2"/>
  <c r="I13" i="2"/>
  <c r="H13" i="2"/>
  <c r="H14" i="2"/>
  <c r="H15" i="2"/>
  <c r="H16" i="2"/>
  <c r="H17" i="2"/>
  <c r="H12" i="2"/>
  <c r="F14" i="2"/>
  <c r="G13" i="2"/>
  <c r="G14" i="2"/>
  <c r="F15" i="2" s="1"/>
  <c r="G15" i="2" s="1"/>
  <c r="F16" i="2" s="1"/>
  <c r="G16" i="2" s="1"/>
  <c r="F17" i="2" s="1"/>
  <c r="G17" i="2" s="1"/>
  <c r="F13" i="2"/>
  <c r="G12" i="2"/>
  <c r="F12" i="2"/>
  <c r="D14" i="2"/>
  <c r="D15" i="2"/>
  <c r="D16" i="2"/>
  <c r="D17" i="2"/>
  <c r="D13" i="2"/>
  <c r="D12" i="2"/>
  <c r="E13" i="2"/>
  <c r="E14" i="2"/>
  <c r="E15" i="2"/>
  <c r="E16" i="2"/>
  <c r="E17" i="2"/>
  <c r="E12" i="2"/>
  <c r="C13" i="2"/>
  <c r="C14" i="2"/>
  <c r="C15" i="2"/>
  <c r="C16" i="2"/>
  <c r="C17" i="2"/>
  <c r="C12" i="2"/>
  <c r="E5" i="1"/>
  <c r="E27" i="3"/>
  <c r="F25" i="3"/>
  <c r="I21" i="3"/>
  <c r="F19" i="3"/>
  <c r="F30" i="2"/>
  <c r="F28" i="2"/>
  <c r="F26" i="2"/>
  <c r="F24" i="2"/>
  <c r="F5" i="1"/>
</calcChain>
</file>

<file path=xl/sharedStrings.xml><?xml version="1.0" encoding="utf-8"?>
<sst xmlns="http://schemas.openxmlformats.org/spreadsheetml/2006/main" count="54" uniqueCount="47">
  <si>
    <t>1.</t>
  </si>
  <si>
    <t>The length of a queue during a 30 minute period is 3 for the first 5 minutes, 4 for the
next 10 minutes, 2 for the next 6 minutes, and 3 for the last 9 minutes. What is the average
queue length during this time?</t>
  </si>
  <si>
    <t>Average Queue Length = sum(queue length*time of queue) / total time period</t>
  </si>
  <si>
    <t xml:space="preserve">Average Queue Length = </t>
  </si>
  <si>
    <t>2.</t>
  </si>
  <si>
    <t>Compute this problem manually without the aid of a simulation tool. A Navy
helicopter mechanic starts his shift and services incoming helicopters. Calculate the minimum and maximum queue length for this period, the total queue time (total
time spent in queue for all pilots), the average waiting time in queue, the total idle time for the mechanic, and the resource utilization for the mechanic. Show all your work.</t>
  </si>
  <si>
    <t>Arrival Times</t>
  </si>
  <si>
    <t>Service Times</t>
  </si>
  <si>
    <t>Helicopter #</t>
  </si>
  <si>
    <t>Interval Arrival Time</t>
  </si>
  <si>
    <t>Service Time</t>
  </si>
  <si>
    <t>Clock Arrival Time</t>
  </si>
  <si>
    <t>Service Start Time</t>
  </si>
  <si>
    <t>Service End Time</t>
  </si>
  <si>
    <t>Wait Time</t>
  </si>
  <si>
    <t>Mechanic Idle Time</t>
  </si>
  <si>
    <t>Queue at Start</t>
  </si>
  <si>
    <t>Queue at End</t>
  </si>
  <si>
    <t>Minimum Queue Length =</t>
  </si>
  <si>
    <t>Maximum Queue Length =</t>
  </si>
  <si>
    <t xml:space="preserve">Total Queue Time = </t>
  </si>
  <si>
    <t>Total Idle Time</t>
  </si>
  <si>
    <t xml:space="preserve">Total Idle Time = </t>
  </si>
  <si>
    <t>helicopters</t>
  </si>
  <si>
    <t>hours</t>
  </si>
  <si>
    <t>hours/helicopter</t>
  </si>
  <si>
    <t>Resource Utilization =</t>
  </si>
  <si>
    <t>Average Queue Time =</t>
  </si>
  <si>
    <t>3.</t>
  </si>
  <si>
    <t>Below is another depiction of the class example for the Navy cargo ship maintenance
facility scenario. This is for the single facility configuration and all time units are in days.</t>
  </si>
  <si>
    <t>Ship</t>
  </si>
  <si>
    <t>Arrival Time</t>
  </si>
  <si>
    <t>Service Start</t>
  </si>
  <si>
    <t>Service End</t>
  </si>
  <si>
    <t>Idle Time</t>
  </si>
  <si>
    <t>1)</t>
  </si>
  <si>
    <t>What is the average waiting time for the ships that need service?</t>
  </si>
  <si>
    <t>Total waiting time =</t>
  </si>
  <si>
    <t>2)</t>
  </si>
  <si>
    <t>Days</t>
  </si>
  <si>
    <t>Calculate the 20-day resource utilization of the single facility using fractional days. The
facility is open and staffed 24 hours each day available for service</t>
  </si>
  <si>
    <t>4.</t>
  </si>
  <si>
    <t>Problem 3, how might the resource utilization change for the first facility when a
second facility is added? In this case ships will be serviced by the second facility when the first
is busy. Assume the same inputs for ship arrivals and service durations.</t>
  </si>
  <si>
    <t>B</t>
  </si>
  <si>
    <t>Ships 2, 4, 7, 10, 11, 12. 14, 15, 17, and 20 did not need service and did not get in line. For simplicity, they are not shown in the graph below.</t>
  </si>
  <si>
    <t>Average wait time (for the 10 ships getting serviced) =</t>
  </si>
  <si>
    <t>Since a second facility opens, every time there is a queue for the first facility the ship will go to the second facility. If a third ship isn't in queue before the first ship finished, then the first facility will be idle while the second works on the second ship. Anytime the queue would have been less than 2, the utilization of the first facility will decrease.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</si>
</sst>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49" fontId="0" fillId="0" borderId="0" xfId="0" applyNumberFormat="1"/>
    <xf numFmtId="0" fontId="0" fillId="0" borderId="0" xfId="0" applyAlignment="1">
      <alignment wrapText="1"/>
    </xf>
    <xf numFmtId="0" fontId="0" fillId="0" borderId="0" xfId="0" applyAlignment="1">
      <alignment horizontal="left" wrapText="1"/>
    </xf>
    <xf numFmtId="0" fontId="0" fillId="2" borderId="0" xfId="0" applyFill="1"/>
    <xf numFmtId="10" fontId="0" fillId="2" borderId="0" xfId="1" applyNumberFormat="1" applyFont="1" applyFill="1"/>
    <xf numFmtId="0" fontId="0" fillId="0" borderId="0" xfId="0" applyAlignment="1">
      <alignment horizontal="left"/>
    </xf>
    <xf numFmtId="0" fontId="0" fillId="0" borderId="0" xfId="0" applyAlignment="1">
      <alignment horizontal="left"/>
    </xf>
    <xf numFmtId="164" fontId="0" fillId="2" borderId="0" xfId="1" applyNumberFormat="1"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856C4-DE8C-4F10-AB00-E4F12D82B922}">
  <dimension ref="A1:I5"/>
  <sheetViews>
    <sheetView tabSelected="1" workbookViewId="0">
      <selection activeCell="J15" sqref="J15"/>
    </sheetView>
  </sheetViews>
  <sheetFormatPr defaultRowHeight="14.5" x14ac:dyDescent="0.35"/>
  <sheetData>
    <row r="1" spans="1:9" ht="58.5" customHeight="1" x14ac:dyDescent="0.35">
      <c r="A1" s="1" t="s">
        <v>0</v>
      </c>
      <c r="B1" s="3" t="s">
        <v>1</v>
      </c>
      <c r="C1" s="3"/>
      <c r="D1" s="3"/>
      <c r="E1" s="3"/>
      <c r="F1" s="3"/>
      <c r="G1" s="3"/>
      <c r="H1" s="3"/>
      <c r="I1" s="3"/>
    </row>
    <row r="3" spans="1:9" x14ac:dyDescent="0.35">
      <c r="B3" t="s">
        <v>2</v>
      </c>
    </row>
    <row r="5" spans="1:9" x14ac:dyDescent="0.35">
      <c r="B5" s="4" t="s">
        <v>3</v>
      </c>
      <c r="C5" s="4"/>
      <c r="D5" s="4"/>
      <c r="E5" s="4">
        <f>((3 * 5) + (4 * 10) + (2 * 6) + (3 * 9)) / 30</f>
        <v>3.1333333333333333</v>
      </c>
      <c r="F5" t="str">
        <f ca="1">_xlfn.FORMULATEXT(E5)</f>
        <v>=((3 * 5) + (4 * 10) + (2 * 6) + (3 * 9)) / 30</v>
      </c>
    </row>
  </sheetData>
  <mergeCells count="1">
    <mergeCell ref="B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680D-1475-471B-AFAA-BBFCCF3A4603}">
  <dimension ref="A1:K30"/>
  <sheetViews>
    <sheetView workbookViewId="0">
      <selection activeCell="H14" sqref="H14"/>
    </sheetView>
  </sheetViews>
  <sheetFormatPr defaultRowHeight="14.5" x14ac:dyDescent="0.35"/>
  <cols>
    <col min="2" max="2" width="11.36328125" customWidth="1"/>
    <col min="3" max="3" width="10.453125" customWidth="1"/>
    <col min="4" max="4" width="10.1796875" customWidth="1"/>
    <col min="5" max="5" width="14.26953125" bestFit="1" customWidth="1"/>
    <col min="6" max="6" width="9.26953125" customWidth="1"/>
  </cols>
  <sheetData>
    <row r="1" spans="1:11" ht="76.5" customHeight="1" x14ac:dyDescent="0.35">
      <c r="A1" s="1" t="s">
        <v>4</v>
      </c>
      <c r="B1" s="3" t="s">
        <v>5</v>
      </c>
      <c r="C1" s="3"/>
      <c r="D1" s="3"/>
      <c r="E1" s="3"/>
      <c r="F1" s="3"/>
      <c r="G1" s="3"/>
      <c r="H1" s="3"/>
      <c r="I1" s="3"/>
    </row>
    <row r="3" spans="1:11" x14ac:dyDescent="0.35">
      <c r="B3" t="s">
        <v>6</v>
      </c>
      <c r="D3" t="s">
        <v>7</v>
      </c>
    </row>
    <row r="4" spans="1:11" x14ac:dyDescent="0.35">
      <c r="B4">
        <v>0</v>
      </c>
      <c r="D4">
        <v>2.2000000000000002</v>
      </c>
    </row>
    <row r="5" spans="1:11" x14ac:dyDescent="0.35">
      <c r="B5">
        <v>1.4</v>
      </c>
      <c r="D5">
        <v>1.2</v>
      </c>
    </row>
    <row r="6" spans="1:11" x14ac:dyDescent="0.35">
      <c r="B6">
        <v>2.1</v>
      </c>
      <c r="D6">
        <v>0.3</v>
      </c>
    </row>
    <row r="7" spans="1:11" x14ac:dyDescent="0.35">
      <c r="B7">
        <v>1.9</v>
      </c>
      <c r="D7">
        <v>2.8</v>
      </c>
    </row>
    <row r="8" spans="1:11" x14ac:dyDescent="0.35">
      <c r="B8">
        <v>0.2</v>
      </c>
      <c r="D8">
        <v>0.2</v>
      </c>
    </row>
    <row r="9" spans="1:11" x14ac:dyDescent="0.35">
      <c r="B9">
        <v>1.5</v>
      </c>
      <c r="D9">
        <v>1.8</v>
      </c>
    </row>
    <row r="11" spans="1:11" s="2" customFormat="1" ht="31" customHeight="1" x14ac:dyDescent="0.35">
      <c r="B11" s="2" t="s">
        <v>8</v>
      </c>
      <c r="C11" s="2" t="s">
        <v>9</v>
      </c>
      <c r="D11" s="2" t="s">
        <v>11</v>
      </c>
      <c r="E11" s="2" t="s">
        <v>10</v>
      </c>
      <c r="F11" s="2" t="s">
        <v>12</v>
      </c>
      <c r="G11" s="2" t="s">
        <v>13</v>
      </c>
      <c r="H11" s="2" t="s">
        <v>14</v>
      </c>
      <c r="I11" s="2" t="s">
        <v>15</v>
      </c>
      <c r="J11" s="2" t="s">
        <v>16</v>
      </c>
      <c r="K11" s="2" t="s">
        <v>17</v>
      </c>
    </row>
    <row r="12" spans="1:11" x14ac:dyDescent="0.35">
      <c r="B12">
        <v>1</v>
      </c>
      <c r="C12">
        <f>B4</f>
        <v>0</v>
      </c>
      <c r="D12">
        <f>C12</f>
        <v>0</v>
      </c>
      <c r="E12">
        <f>D4</f>
        <v>2.2000000000000002</v>
      </c>
      <c r="F12">
        <f>0</f>
        <v>0</v>
      </c>
      <c r="G12">
        <f>F12+E12</f>
        <v>2.2000000000000002</v>
      </c>
      <c r="H12">
        <f>F12-D12</f>
        <v>0</v>
      </c>
      <c r="I12">
        <v>0</v>
      </c>
      <c r="J12">
        <v>0</v>
      </c>
      <c r="K12">
        <v>1</v>
      </c>
    </row>
    <row r="13" spans="1:11" x14ac:dyDescent="0.35">
      <c r="B13">
        <v>2</v>
      </c>
      <c r="C13">
        <f t="shared" ref="C13:C17" si="0">B5</f>
        <v>1.4</v>
      </c>
      <c r="D13">
        <f>D12+C13</f>
        <v>1.4</v>
      </c>
      <c r="E13">
        <f>D5</f>
        <v>1.2</v>
      </c>
      <c r="F13">
        <f>MAX(G12,D13)</f>
        <v>2.2000000000000002</v>
      </c>
      <c r="G13">
        <f t="shared" ref="G13:G17" si="1">F13+E13</f>
        <v>3.4000000000000004</v>
      </c>
      <c r="H13">
        <f t="shared" ref="H13:H17" si="2">F13-D13</f>
        <v>0.80000000000000027</v>
      </c>
      <c r="I13">
        <f>F13-G12</f>
        <v>0</v>
      </c>
      <c r="J13">
        <v>1</v>
      </c>
      <c r="K13">
        <v>0</v>
      </c>
    </row>
    <row r="14" spans="1:11" x14ac:dyDescent="0.35">
      <c r="B14">
        <v>3</v>
      </c>
      <c r="C14">
        <f t="shared" si="0"/>
        <v>2.1</v>
      </c>
      <c r="D14">
        <f t="shared" ref="D14:D17" si="3">D13+C14</f>
        <v>3.5</v>
      </c>
      <c r="E14">
        <f>D6</f>
        <v>0.3</v>
      </c>
      <c r="F14">
        <f t="shared" ref="F14:F17" si="4">MAX(G13,D14)</f>
        <v>3.5</v>
      </c>
      <c r="G14">
        <f t="shared" si="1"/>
        <v>3.8</v>
      </c>
      <c r="H14">
        <f t="shared" si="2"/>
        <v>0</v>
      </c>
      <c r="I14">
        <f t="shared" ref="I14:I17" si="5">F14-G13</f>
        <v>9.9999999999999645E-2</v>
      </c>
      <c r="J14">
        <v>0</v>
      </c>
      <c r="K14">
        <v>0</v>
      </c>
    </row>
    <row r="15" spans="1:11" x14ac:dyDescent="0.35">
      <c r="B15">
        <v>4</v>
      </c>
      <c r="C15">
        <f t="shared" si="0"/>
        <v>1.9</v>
      </c>
      <c r="D15">
        <f t="shared" si="3"/>
        <v>5.4</v>
      </c>
      <c r="E15">
        <f>D7</f>
        <v>2.8</v>
      </c>
      <c r="F15">
        <f t="shared" si="4"/>
        <v>5.4</v>
      </c>
      <c r="G15">
        <f t="shared" si="1"/>
        <v>8.1999999999999993</v>
      </c>
      <c r="H15">
        <f t="shared" si="2"/>
        <v>0</v>
      </c>
      <c r="I15">
        <f t="shared" si="5"/>
        <v>1.6000000000000005</v>
      </c>
      <c r="J15">
        <v>0</v>
      </c>
      <c r="K15">
        <v>2</v>
      </c>
    </row>
    <row r="16" spans="1:11" x14ac:dyDescent="0.35">
      <c r="B16">
        <v>5</v>
      </c>
      <c r="C16">
        <f t="shared" si="0"/>
        <v>0.2</v>
      </c>
      <c r="D16">
        <f t="shared" si="3"/>
        <v>5.6000000000000005</v>
      </c>
      <c r="E16">
        <f>D8</f>
        <v>0.2</v>
      </c>
      <c r="F16">
        <f t="shared" si="4"/>
        <v>8.1999999999999993</v>
      </c>
      <c r="G16">
        <f t="shared" si="1"/>
        <v>8.3999999999999986</v>
      </c>
      <c r="H16">
        <f t="shared" si="2"/>
        <v>2.5999999999999988</v>
      </c>
      <c r="I16">
        <f t="shared" si="5"/>
        <v>0</v>
      </c>
      <c r="J16">
        <v>2</v>
      </c>
      <c r="K16">
        <v>1</v>
      </c>
    </row>
    <row r="17" spans="2:11" x14ac:dyDescent="0.35">
      <c r="B17">
        <v>6</v>
      </c>
      <c r="C17">
        <f t="shared" si="0"/>
        <v>1.5</v>
      </c>
      <c r="D17">
        <f t="shared" si="3"/>
        <v>7.1000000000000005</v>
      </c>
      <c r="E17">
        <f>D9</f>
        <v>1.8</v>
      </c>
      <c r="F17">
        <f t="shared" si="4"/>
        <v>8.3999999999999986</v>
      </c>
      <c r="G17">
        <f t="shared" si="1"/>
        <v>10.199999999999999</v>
      </c>
      <c r="H17">
        <f t="shared" si="2"/>
        <v>1.299999999999998</v>
      </c>
      <c r="I17">
        <f t="shared" si="5"/>
        <v>0</v>
      </c>
      <c r="J17">
        <v>1</v>
      </c>
      <c r="K17">
        <v>0</v>
      </c>
    </row>
    <row r="20" spans="2:11" x14ac:dyDescent="0.35">
      <c r="B20" s="4" t="s">
        <v>18</v>
      </c>
      <c r="C20" s="4"/>
      <c r="D20" s="4">
        <f>MIN(J12:K17)</f>
        <v>0</v>
      </c>
      <c r="E20" s="4" t="s">
        <v>23</v>
      </c>
    </row>
    <row r="22" spans="2:11" x14ac:dyDescent="0.35">
      <c r="B22" s="4" t="s">
        <v>19</v>
      </c>
      <c r="C22" s="4"/>
      <c r="D22" s="4">
        <f>MAX(J12:K17)</f>
        <v>2</v>
      </c>
      <c r="E22" s="4" t="s">
        <v>23</v>
      </c>
    </row>
    <row r="24" spans="2:11" x14ac:dyDescent="0.35">
      <c r="B24" s="4" t="s">
        <v>20</v>
      </c>
      <c r="C24" s="4"/>
      <c r="D24" s="4">
        <f>SUM(H12:H17)</f>
        <v>4.6999999999999975</v>
      </c>
      <c r="E24" s="4" t="s">
        <v>24</v>
      </c>
      <c r="F24" t="str">
        <f ca="1">_xlfn.FORMULATEXT(D24)</f>
        <v>=SUM(H12:H17)</v>
      </c>
    </row>
    <row r="26" spans="2:11" x14ac:dyDescent="0.35">
      <c r="B26" s="4" t="s">
        <v>27</v>
      </c>
      <c r="C26" s="4"/>
      <c r="D26" s="4">
        <f>D24/COUNT(B12:B17)</f>
        <v>0.78333333333333288</v>
      </c>
      <c r="E26" s="4" t="s">
        <v>25</v>
      </c>
      <c r="F26" t="str">
        <f ca="1">_xlfn.FORMULATEXT(D26)</f>
        <v>=D24/COUNT(B12:B17)</v>
      </c>
    </row>
    <row r="28" spans="2:11" x14ac:dyDescent="0.35">
      <c r="B28" s="4" t="s">
        <v>22</v>
      </c>
      <c r="C28" s="4"/>
      <c r="D28" s="4">
        <f>SUM(I12:I17)</f>
        <v>1.7000000000000002</v>
      </c>
      <c r="E28" s="4" t="s">
        <v>24</v>
      </c>
      <c r="F28" t="str">
        <f ca="1">_xlfn.FORMULATEXT(D28)</f>
        <v>=SUM(I12:I17)</v>
      </c>
    </row>
    <row r="30" spans="2:11" x14ac:dyDescent="0.35">
      <c r="B30" s="4" t="s">
        <v>26</v>
      </c>
      <c r="C30" s="4"/>
      <c r="D30" s="5">
        <f>(G17-D28)/G17</f>
        <v>0.83333333333333337</v>
      </c>
      <c r="F30" t="str">
        <f ca="1">_xlfn.FORMULATEXT(D30)</f>
        <v>=(G17-D28)/G17</v>
      </c>
    </row>
  </sheetData>
  <mergeCells count="1">
    <mergeCell ref="B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A654-0CD2-407C-B9FE-1655FDE619B4}">
  <dimension ref="A1:I38"/>
  <sheetViews>
    <sheetView workbookViewId="0">
      <selection activeCell="B33" sqref="B33:I36"/>
    </sheetView>
  </sheetViews>
  <sheetFormatPr defaultRowHeight="14.5" x14ac:dyDescent="0.35"/>
  <cols>
    <col min="1" max="1" width="8.7265625" style="1"/>
    <col min="3" max="3" width="10.6328125" customWidth="1"/>
    <col min="4" max="4" width="9.90625" customWidth="1"/>
    <col min="5" max="5" width="11.453125" customWidth="1"/>
    <col min="6" max="6" width="10.36328125" customWidth="1"/>
  </cols>
  <sheetData>
    <row r="1" spans="1:9" ht="47" customHeight="1" x14ac:dyDescent="0.35">
      <c r="A1" s="1" t="s">
        <v>28</v>
      </c>
      <c r="B1" s="3" t="s">
        <v>29</v>
      </c>
      <c r="C1" s="6"/>
      <c r="D1" s="6"/>
      <c r="E1" s="6"/>
      <c r="F1" s="6"/>
      <c r="G1" s="6"/>
      <c r="H1" s="6"/>
      <c r="I1" s="6"/>
    </row>
    <row r="3" spans="1:9" x14ac:dyDescent="0.35">
      <c r="B3" t="s">
        <v>44</v>
      </c>
    </row>
    <row r="5" spans="1:9" x14ac:dyDescent="0.35">
      <c r="B5" t="s">
        <v>30</v>
      </c>
      <c r="C5" t="s">
        <v>10</v>
      </c>
      <c r="D5" t="s">
        <v>31</v>
      </c>
      <c r="E5" t="s">
        <v>32</v>
      </c>
      <c r="F5" t="s">
        <v>33</v>
      </c>
      <c r="G5" t="s">
        <v>14</v>
      </c>
      <c r="H5" t="s">
        <v>34</v>
      </c>
    </row>
    <row r="6" spans="1:9" x14ac:dyDescent="0.35">
      <c r="B6">
        <v>1</v>
      </c>
      <c r="C6">
        <v>2.5</v>
      </c>
      <c r="D6">
        <f>B6-1</f>
        <v>0</v>
      </c>
      <c r="E6">
        <v>0</v>
      </c>
      <c r="F6">
        <v>2.5</v>
      </c>
      <c r="G6">
        <f>E6-D6</f>
        <v>0</v>
      </c>
      <c r="H6">
        <v>0</v>
      </c>
    </row>
    <row r="7" spans="1:9" x14ac:dyDescent="0.35">
      <c r="B7">
        <v>3</v>
      </c>
      <c r="C7">
        <v>2</v>
      </c>
      <c r="D7">
        <f t="shared" ref="D7:D15" si="0">B7-1</f>
        <v>2</v>
      </c>
      <c r="E7">
        <v>2.5</v>
      </c>
      <c r="F7">
        <v>4.5</v>
      </c>
      <c r="G7">
        <f t="shared" ref="G7:G15" si="1">E7-D7</f>
        <v>0.5</v>
      </c>
      <c r="H7">
        <f>E7-F6</f>
        <v>0</v>
      </c>
    </row>
    <row r="8" spans="1:9" x14ac:dyDescent="0.35">
      <c r="B8">
        <v>5</v>
      </c>
      <c r="C8">
        <v>3</v>
      </c>
      <c r="D8">
        <f t="shared" si="0"/>
        <v>4</v>
      </c>
      <c r="E8">
        <v>4.5</v>
      </c>
      <c r="F8">
        <v>7.5</v>
      </c>
      <c r="G8">
        <f t="shared" si="1"/>
        <v>0.5</v>
      </c>
      <c r="H8">
        <f t="shared" ref="H8:H15" si="2">E8-F7</f>
        <v>0</v>
      </c>
    </row>
    <row r="9" spans="1:9" x14ac:dyDescent="0.35">
      <c r="B9">
        <v>6</v>
      </c>
      <c r="C9">
        <v>1.5</v>
      </c>
      <c r="D9">
        <f t="shared" si="0"/>
        <v>5</v>
      </c>
      <c r="E9">
        <v>7.5</v>
      </c>
      <c r="F9">
        <v>9</v>
      </c>
      <c r="G9">
        <f t="shared" si="1"/>
        <v>2.5</v>
      </c>
      <c r="H9">
        <f t="shared" si="2"/>
        <v>0</v>
      </c>
    </row>
    <row r="10" spans="1:9" x14ac:dyDescent="0.35">
      <c r="B10">
        <v>8</v>
      </c>
      <c r="C10">
        <v>2</v>
      </c>
      <c r="D10">
        <f t="shared" si="0"/>
        <v>7</v>
      </c>
      <c r="E10">
        <v>9</v>
      </c>
      <c r="F10">
        <v>11</v>
      </c>
      <c r="G10">
        <f t="shared" si="1"/>
        <v>2</v>
      </c>
      <c r="H10">
        <f t="shared" si="2"/>
        <v>0</v>
      </c>
    </row>
    <row r="11" spans="1:9" x14ac:dyDescent="0.35">
      <c r="B11">
        <v>9</v>
      </c>
      <c r="C11">
        <v>1</v>
      </c>
      <c r="D11">
        <f t="shared" si="0"/>
        <v>8</v>
      </c>
      <c r="E11">
        <v>11</v>
      </c>
      <c r="F11">
        <v>12</v>
      </c>
      <c r="G11">
        <f t="shared" si="1"/>
        <v>3</v>
      </c>
      <c r="H11">
        <f t="shared" si="2"/>
        <v>0</v>
      </c>
    </row>
    <row r="12" spans="1:9" x14ac:dyDescent="0.35">
      <c r="B12">
        <v>13</v>
      </c>
      <c r="C12">
        <v>2</v>
      </c>
      <c r="D12">
        <f t="shared" si="0"/>
        <v>12</v>
      </c>
      <c r="E12">
        <v>12</v>
      </c>
      <c r="F12">
        <v>14</v>
      </c>
      <c r="G12">
        <f t="shared" si="1"/>
        <v>0</v>
      </c>
      <c r="H12">
        <f t="shared" si="2"/>
        <v>0</v>
      </c>
    </row>
    <row r="13" spans="1:9" x14ac:dyDescent="0.35">
      <c r="B13">
        <v>16</v>
      </c>
      <c r="C13">
        <v>0.5</v>
      </c>
      <c r="D13">
        <f t="shared" si="0"/>
        <v>15</v>
      </c>
      <c r="E13">
        <v>15</v>
      </c>
      <c r="F13">
        <v>15.5</v>
      </c>
      <c r="G13">
        <f t="shared" si="1"/>
        <v>0</v>
      </c>
      <c r="H13">
        <f t="shared" si="2"/>
        <v>1</v>
      </c>
    </row>
    <row r="14" spans="1:9" x14ac:dyDescent="0.35">
      <c r="B14">
        <v>18</v>
      </c>
      <c r="C14">
        <v>1.5</v>
      </c>
      <c r="D14">
        <f t="shared" si="0"/>
        <v>17</v>
      </c>
      <c r="E14">
        <v>17</v>
      </c>
      <c r="F14">
        <v>18.5</v>
      </c>
      <c r="G14">
        <f t="shared" si="1"/>
        <v>0</v>
      </c>
      <c r="H14">
        <f t="shared" si="2"/>
        <v>1.5</v>
      </c>
    </row>
    <row r="15" spans="1:9" x14ac:dyDescent="0.35">
      <c r="B15">
        <v>19</v>
      </c>
      <c r="C15">
        <v>3</v>
      </c>
      <c r="D15">
        <f t="shared" si="0"/>
        <v>18</v>
      </c>
      <c r="E15">
        <v>18.5</v>
      </c>
      <c r="F15">
        <v>21.5</v>
      </c>
      <c r="G15">
        <f t="shared" si="1"/>
        <v>0.5</v>
      </c>
      <c r="H15">
        <f t="shared" si="2"/>
        <v>0</v>
      </c>
    </row>
    <row r="17" spans="1:9" x14ac:dyDescent="0.35">
      <c r="A17" s="1" t="s">
        <v>35</v>
      </c>
      <c r="B17" s="6" t="s">
        <v>36</v>
      </c>
      <c r="C17" s="6"/>
      <c r="D17" s="6"/>
      <c r="E17" s="6"/>
      <c r="F17" s="6"/>
      <c r="G17" s="6"/>
      <c r="H17" s="6"/>
      <c r="I17" s="6"/>
    </row>
    <row r="19" spans="1:9" x14ac:dyDescent="0.35">
      <c r="B19" t="s">
        <v>37</v>
      </c>
      <c r="D19">
        <f>SUM(G6:G15)</f>
        <v>9</v>
      </c>
      <c r="E19" t="s">
        <v>39</v>
      </c>
      <c r="F19" t="str">
        <f ca="1">_xlfn.FORMULATEXT(D19)</f>
        <v>=SUM(G6:G15)</v>
      </c>
    </row>
    <row r="21" spans="1:9" x14ac:dyDescent="0.35">
      <c r="B21" s="4" t="s">
        <v>45</v>
      </c>
      <c r="C21" s="4"/>
      <c r="D21" s="4"/>
      <c r="E21" s="4"/>
      <c r="F21" s="4"/>
      <c r="G21" s="4">
        <f>D19/COUNT(B6:B15)</f>
        <v>0.9</v>
      </c>
      <c r="H21" s="4" t="s">
        <v>39</v>
      </c>
      <c r="I21" t="str">
        <f ca="1">_xlfn.FORMULATEXT(G21)</f>
        <v>=D19/COUNT(B6:B15)</v>
      </c>
    </row>
    <row r="23" spans="1:9" ht="29.5" customHeight="1" x14ac:dyDescent="0.35">
      <c r="A23" s="1" t="s">
        <v>38</v>
      </c>
      <c r="B23" s="3" t="s">
        <v>40</v>
      </c>
      <c r="C23" s="6"/>
      <c r="D23" s="6"/>
      <c r="E23" s="6"/>
      <c r="F23" s="6"/>
      <c r="G23" s="6"/>
      <c r="H23" s="6"/>
      <c r="I23" s="6"/>
    </row>
    <row r="25" spans="1:9" x14ac:dyDescent="0.35">
      <c r="B25" t="s">
        <v>21</v>
      </c>
      <c r="D25">
        <f>SUM(H6:H15)</f>
        <v>2.5</v>
      </c>
      <c r="E25" t="s">
        <v>39</v>
      </c>
      <c r="F25" t="str">
        <f ca="1">_xlfn.FORMULATEXT(D25)</f>
        <v>=SUM(H6:H15)</v>
      </c>
    </row>
    <row r="27" spans="1:9" x14ac:dyDescent="0.35">
      <c r="B27" s="4" t="s">
        <v>26</v>
      </c>
      <c r="C27" s="4"/>
      <c r="D27" s="8">
        <f>(20-D25)/20</f>
        <v>0.875</v>
      </c>
      <c r="E27" s="7" t="str">
        <f ca="1">_xlfn.FORMULATEXT(D27)</f>
        <v>=(20-D25)/20</v>
      </c>
    </row>
    <row r="30" spans="1:9" ht="42.5" customHeight="1" x14ac:dyDescent="0.35">
      <c r="A30" s="1" t="s">
        <v>41</v>
      </c>
      <c r="B30" s="3" t="s">
        <v>42</v>
      </c>
      <c r="C30" s="3"/>
      <c r="D30" s="3"/>
      <c r="E30" s="3"/>
      <c r="F30" s="3"/>
      <c r="G30" s="3"/>
      <c r="H30" s="3"/>
      <c r="I30" s="3"/>
    </row>
    <row r="32" spans="1:9" x14ac:dyDescent="0.35">
      <c r="B32" s="4" t="s">
        <v>43</v>
      </c>
    </row>
    <row r="33" spans="2:9" ht="14.5" customHeight="1" x14ac:dyDescent="0.35">
      <c r="B33" s="3" t="s">
        <v>46</v>
      </c>
      <c r="C33" s="3"/>
      <c r="D33" s="3"/>
      <c r="E33" s="3"/>
      <c r="F33" s="3"/>
      <c r="G33" s="3"/>
      <c r="H33" s="3"/>
      <c r="I33" s="3"/>
    </row>
    <row r="34" spans="2:9" x14ac:dyDescent="0.35">
      <c r="B34" s="3"/>
      <c r="C34" s="3"/>
      <c r="D34" s="3"/>
      <c r="E34" s="3"/>
      <c r="F34" s="3"/>
      <c r="G34" s="3"/>
      <c r="H34" s="3"/>
      <c r="I34" s="3"/>
    </row>
    <row r="35" spans="2:9" x14ac:dyDescent="0.35">
      <c r="B35" s="3"/>
      <c r="C35" s="3"/>
      <c r="D35" s="3"/>
      <c r="E35" s="3"/>
      <c r="F35" s="3"/>
      <c r="G35" s="3"/>
      <c r="H35" s="3"/>
      <c r="I35" s="3"/>
    </row>
    <row r="36" spans="2:9" x14ac:dyDescent="0.35">
      <c r="B36" s="3"/>
      <c r="C36" s="3"/>
      <c r="D36" s="3"/>
      <c r="E36" s="3"/>
      <c r="F36" s="3"/>
      <c r="G36" s="3"/>
      <c r="H36" s="3"/>
      <c r="I36" s="3"/>
    </row>
    <row r="37" spans="2:9" x14ac:dyDescent="0.35">
      <c r="B37" s="2"/>
      <c r="C37" s="2"/>
      <c r="D37" s="2"/>
      <c r="E37" s="2"/>
      <c r="F37" s="2"/>
      <c r="G37" s="2"/>
      <c r="H37" s="2"/>
      <c r="I37" s="2"/>
    </row>
    <row r="38" spans="2:9" x14ac:dyDescent="0.35">
      <c r="B38" s="2"/>
      <c r="C38" s="2"/>
      <c r="D38" s="2"/>
      <c r="E38" s="2"/>
      <c r="F38" s="2"/>
      <c r="G38" s="2"/>
      <c r="H38" s="2"/>
      <c r="I38" s="2"/>
    </row>
  </sheetData>
  <mergeCells count="5">
    <mergeCell ref="B1:I1"/>
    <mergeCell ref="B17:I17"/>
    <mergeCell ref="B23:I23"/>
    <mergeCell ref="B30:I30"/>
    <mergeCell ref="B33:I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1</vt:lpstr>
      <vt:lpstr>Problem 2</vt:lpstr>
      <vt:lpstr>Problem 3&amp;4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Grigus, Joseph (CIV)</dc:creator>
  <cp:lastModifiedBy>Grigus, Joseph (CIV)</cp:lastModifiedBy>
  <dcterms:created xsi:type="dcterms:W3CDTF">2026-01-14T02:55:55Z</dcterms:created>
  <dcterms:modified xsi:type="dcterms:W3CDTF">2026-01-14T04:39:10Z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2026-01-14T02:57:17Z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e96c68db-4cbf-4808-b56a-7d10e925a951</vt:lpwstr>
  </property>
  <property fmtid="{D5CDD505-2E9C-101B-9397-08002B2CF9AE}" pid="8" name="MSIP_Label_acbbd4a6-dc2f-44d9-ad2c-c28d4679873f_ContentBits">
    <vt:lpwstr>0</vt:lpwstr>
  </property>
  <property fmtid="{D5CDD505-2E9C-101B-9397-08002B2CF9AE}" pid="9" name="MSIP_Label_acbbd4a6-dc2f-44d9-ad2c-c28d4679873f_Tag">
    <vt:lpwstr>10, 3, 0, 1</vt:lpwstr>
  </property>
</Properties>
</file>