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and\OneDrive\Documents\NPS Documents\Q6\SE4420\"/>
    </mc:Choice>
  </mc:AlternateContent>
  <xr:revisionPtr revIDLastSave="0" documentId="13_ncr:1_{824FB8DE-D1FD-4BC5-9BAE-1D6E0CBD9FA0}" xr6:coauthVersionLast="47" xr6:coauthVersionMax="47" xr10:uidLastSave="{00000000-0000-0000-0000-000000000000}"/>
  <bookViews>
    <workbookView xWindow="-120" yWindow="-120" windowWidth="51840" windowHeight="21120" xr2:uid="{1B615D73-10B2-433A-9D95-DAF73481B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2" i="1" l="1"/>
  <c r="H62" i="1"/>
  <c r="N63" i="1"/>
  <c r="M63" i="1"/>
  <c r="H63" i="1"/>
  <c r="J43" i="1"/>
  <c r="J45" i="1"/>
  <c r="J48" i="1"/>
  <c r="Q37" i="1"/>
  <c r="J56" i="1"/>
  <c r="J55" i="1"/>
  <c r="J54" i="1"/>
  <c r="J53" i="1"/>
  <c r="J52" i="1"/>
  <c r="J51" i="1"/>
  <c r="J50" i="1"/>
  <c r="J49" i="1"/>
  <c r="J47" i="1"/>
  <c r="J46" i="1"/>
  <c r="J44" i="1"/>
  <c r="A43" i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I44" i="1"/>
  <c r="I43" i="1"/>
  <c r="R35" i="1"/>
  <c r="G57" i="1"/>
  <c r="G59" i="1" s="1"/>
  <c r="F60" i="1" s="1"/>
  <c r="G60" i="1" s="1"/>
  <c r="G42" i="1"/>
  <c r="F44" i="1" s="1"/>
  <c r="E42" i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B43" i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M30" i="1"/>
  <c r="E26" i="1"/>
  <c r="F26" i="1"/>
  <c r="E27" i="1"/>
  <c r="F27" i="1"/>
  <c r="E28" i="1"/>
  <c r="F28" i="1"/>
  <c r="E29" i="1"/>
  <c r="F29" i="1"/>
  <c r="E30" i="1"/>
  <c r="F30" i="1"/>
  <c r="F25" i="1"/>
  <c r="E25" i="1"/>
  <c r="G25" i="1" s="1"/>
  <c r="C18" i="1"/>
  <c r="C13" i="1"/>
  <c r="C14" i="1"/>
  <c r="C15" i="1"/>
  <c r="C12" i="1"/>
  <c r="C16" i="1" s="1"/>
  <c r="A58" i="1" l="1"/>
  <c r="J57" i="1"/>
  <c r="I60" i="1"/>
  <c r="H42" i="1"/>
  <c r="E58" i="1"/>
  <c r="H57" i="1"/>
  <c r="H44" i="1"/>
  <c r="G44" i="1"/>
  <c r="F46" i="1" s="1"/>
  <c r="H25" i="1"/>
  <c r="G26" i="1"/>
  <c r="C20" i="1"/>
  <c r="A59" i="1" l="1"/>
  <c r="J58" i="1"/>
  <c r="E59" i="1"/>
  <c r="I59" i="1"/>
  <c r="I58" i="1"/>
  <c r="I46" i="1"/>
  <c r="I45" i="1"/>
  <c r="G27" i="1"/>
  <c r="H46" i="1"/>
  <c r="G46" i="1"/>
  <c r="F47" i="1" s="1"/>
  <c r="I47" i="1" s="1"/>
  <c r="E60" i="1"/>
  <c r="H59" i="1"/>
  <c r="K25" i="1"/>
  <c r="H26" i="1"/>
  <c r="I25" i="1"/>
  <c r="N25" i="1" s="1"/>
  <c r="J25" i="1"/>
  <c r="A60" i="1" l="1"/>
  <c r="J59" i="1"/>
  <c r="K26" i="1"/>
  <c r="E61" i="1"/>
  <c r="H60" i="1"/>
  <c r="H47" i="1"/>
  <c r="G47" i="1"/>
  <c r="F49" i="1" s="1"/>
  <c r="G28" i="1"/>
  <c r="G29" i="1" s="1"/>
  <c r="G30" i="1" s="1"/>
  <c r="H27" i="1"/>
  <c r="J26" i="1"/>
  <c r="I26" i="1"/>
  <c r="N26" i="1" s="1"/>
  <c r="A61" i="1" l="1"/>
  <c r="J60" i="1"/>
  <c r="I49" i="1"/>
  <c r="I48" i="1"/>
  <c r="K27" i="1"/>
  <c r="H49" i="1"/>
  <c r="G49" i="1"/>
  <c r="F50" i="1" s="1"/>
  <c r="I50" i="1" s="1"/>
  <c r="M25" i="1"/>
  <c r="L30" i="1"/>
  <c r="H28" i="1"/>
  <c r="J27" i="1"/>
  <c r="I27" i="1"/>
  <c r="N27" i="1" s="1"/>
  <c r="N64" i="1" l="1"/>
  <c r="J61" i="1"/>
  <c r="M64" i="1" s="1"/>
  <c r="K28" i="1"/>
  <c r="L26" i="1"/>
  <c r="M26" i="1" s="1"/>
  <c r="L27" i="1" s="1"/>
  <c r="M27" i="1" s="1"/>
  <c r="L28" i="1" s="1"/>
  <c r="G50" i="1"/>
  <c r="F54" i="1" s="1"/>
  <c r="H50" i="1"/>
  <c r="H29" i="1"/>
  <c r="J28" i="1"/>
  <c r="I28" i="1"/>
  <c r="N28" i="1" s="1"/>
  <c r="I51" i="1" l="1"/>
  <c r="I53" i="1"/>
  <c r="I52" i="1"/>
  <c r="K29" i="1"/>
  <c r="M28" i="1"/>
  <c r="L29" i="1" s="1"/>
  <c r="G54" i="1"/>
  <c r="H54" i="1"/>
  <c r="H30" i="1"/>
  <c r="J29" i="1"/>
  <c r="I29" i="1"/>
  <c r="N29" i="1" s="1"/>
  <c r="I57" i="1" l="1"/>
  <c r="I54" i="1"/>
  <c r="I55" i="1"/>
  <c r="I56" i="1"/>
  <c r="K30" i="1"/>
  <c r="K31" i="1" s="1"/>
  <c r="Q36" i="1" s="1"/>
  <c r="Q32" i="1"/>
  <c r="Q33" i="1"/>
  <c r="J30" i="1"/>
  <c r="I30" i="1"/>
  <c r="R37" i="1" l="1"/>
  <c r="N30" i="1"/>
  <c r="J31" i="1"/>
  <c r="Q34" i="1" s="1"/>
  <c r="J32" i="1"/>
  <c r="Q35" i="1" s="1"/>
</calcChain>
</file>

<file path=xl/sharedStrings.xml><?xml version="1.0" encoding="utf-8"?>
<sst xmlns="http://schemas.openxmlformats.org/spreadsheetml/2006/main" count="60" uniqueCount="48">
  <si>
    <t>1.)</t>
  </si>
  <si>
    <t>Time</t>
  </si>
  <si>
    <t>Length</t>
  </si>
  <si>
    <t>Li*ti</t>
  </si>
  <si>
    <t>Sum</t>
  </si>
  <si>
    <t>1/T</t>
  </si>
  <si>
    <t>Lbar</t>
  </si>
  <si>
    <t>Minutes</t>
  </si>
  <si>
    <t>2.)</t>
  </si>
  <si>
    <t>Interarrival times</t>
  </si>
  <si>
    <t>Service Times</t>
  </si>
  <si>
    <t>Helicopter Number</t>
  </si>
  <si>
    <t>Service Time</t>
  </si>
  <si>
    <t>Clock Time</t>
  </si>
  <si>
    <t>Service Start</t>
  </si>
  <si>
    <t>Service End</t>
  </si>
  <si>
    <t>Wait Time</t>
  </si>
  <si>
    <t>Maintainer Idle Time</t>
  </si>
  <si>
    <t>Interarrival Time</t>
  </si>
  <si>
    <t xml:space="preserve">Queue Length End </t>
  </si>
  <si>
    <t>Queue Length Start</t>
  </si>
  <si>
    <t>Totals</t>
  </si>
  <si>
    <t>Average</t>
  </si>
  <si>
    <t>(Idle time prior to start of service)</t>
  </si>
  <si>
    <t>Minimum Queue Length:</t>
  </si>
  <si>
    <t>Maximum Queue Length:</t>
  </si>
  <si>
    <t>Total Queue Time:</t>
  </si>
  <si>
    <t>Average Waiting Time:</t>
  </si>
  <si>
    <t>Total Idle Time:</t>
  </si>
  <si>
    <t>Resource Utilization:</t>
  </si>
  <si>
    <t>Hours</t>
  </si>
  <si>
    <t>(Assumes no other tasks during idle time)</t>
  </si>
  <si>
    <t>3.)</t>
  </si>
  <si>
    <t>Ship</t>
  </si>
  <si>
    <t>Interarrival time</t>
  </si>
  <si>
    <t>Arrival Time</t>
  </si>
  <si>
    <t>Resource Utilization</t>
  </si>
  <si>
    <t>Table</t>
  </si>
  <si>
    <t>Formula</t>
  </si>
  <si>
    <t>Day</t>
  </si>
  <si>
    <t>Average Waiting Time</t>
  </si>
  <si>
    <t>Days</t>
  </si>
  <si>
    <t>Total</t>
  </si>
  <si>
    <t>4.)</t>
  </si>
  <si>
    <t>Facility Idle Time</t>
  </si>
  <si>
    <t>(Does not include service time)</t>
  </si>
  <si>
    <t>(Assume arrival at start of day)</t>
  </si>
  <si>
    <t>(Idle time prior to start of service (previous day))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</si>
</sst>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3">
    <xf numFmtId="0" fontId="0" fillId="0" borderId="0"/>
    <xf numFmtId="0" fontId="1" fillId="2" borderId="1" applyNumberFormat="0" applyFont="0" applyAlignment="0" applyProtection="0"/>
    <xf numFmtId="0" fontId="2" fillId="4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0" fillId="2" borderId="1" xfId="1" applyFont="1"/>
    <xf numFmtId="0" fontId="2" fillId="4" borderId="0" xfId="2"/>
    <xf numFmtId="10" fontId="2" fillId="4" borderId="0" xfId="2" applyNumberFormat="1"/>
    <xf numFmtId="10" fontId="0" fillId="0" borderId="0" xfId="0" applyNumberFormat="1"/>
  </cellXfs>
  <cellStyles count="3">
    <cellStyle name="Good" xfId="2" builtinId="26"/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2</xdr:col>
      <xdr:colOff>800767</xdr:colOff>
      <xdr:row>8</xdr:row>
      <xdr:rowOff>66870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CB6703-3950-5A04-3249-08FAEB40B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2762636" cy="1400370"/>
        </a:xfrm>
        <a:prstGeom prst="rect">
          <a:avLst/>
        </a:prstGeom>
      </xdr:spPr>
    </xdr:pic>
    <xdr:clientData/>
  </xdr:twoCellAnchor>
  <xdr:twoCellAnchor>
    <xdr:from>
      <xdr:col>15</xdr:col>
      <xdr:colOff>7004</xdr:colOff>
      <xdr:row>23</xdr:row>
      <xdr:rowOff>14006</xdr:rowOff>
    </xdr:from>
    <xdr:to>
      <xdr:col>22</xdr:col>
      <xdr:colOff>35019</xdr:colOff>
      <xdr:row>27</xdr:row>
      <xdr:rowOff>49026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04DD485-FBE2-9EF0-F79E-B59C98F53DA0}"/>
            </a:ext>
          </a:extLst>
        </xdr:cNvPr>
        <xdr:cNvSpPr txBox="1"/>
      </xdr:nvSpPr>
      <xdr:spPr>
        <a:xfrm>
          <a:off x="19253107" y="4363289"/>
          <a:ext cx="5245754" cy="7914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=MAX(IF(G27&lt;I26,L26+COUNTIF(G27:G30,"&lt;"&amp;I26),L26-1),0)</a:t>
          </a:r>
        </a:p>
        <a:p>
          <a:r>
            <a:rPr lang="en-US" sz="1100"/>
            <a:t>Almost approximates the queue length relationship, but needs</a:t>
          </a:r>
          <a:r>
            <a:rPr lang="en-US" sz="1100" baseline="0"/>
            <a:t> a double counting exclusion for multiple arriving helicopters during a single service period. The highlighted cell has been altered to match the true relationship.</a:t>
          </a:r>
        </a:p>
        <a:p>
          <a:endParaRPr lang="en-US" sz="1100"/>
        </a:p>
      </xdr:txBody>
    </xdr:sp>
    <xdr:clientData/>
  </xdr:twoCellAnchor>
  <xdr:twoCellAnchor editAs="oneCell">
    <xdr:from>
      <xdr:col>22</xdr:col>
      <xdr:colOff>602316</xdr:colOff>
      <xdr:row>22</xdr:row>
      <xdr:rowOff>21011</xdr:rowOff>
    </xdr:from>
    <xdr:to>
      <xdr:col>27</xdr:col>
      <xdr:colOff>165931</xdr:colOff>
      <xdr:row>26</xdr:row>
      <xdr:rowOff>160089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A8D4D4D-8A29-616B-5654-2F35C1744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99026" y="4181195"/>
          <a:ext cx="2610214" cy="895475"/>
        </a:xfrm>
        <a:prstGeom prst="rect">
          <a:avLst/>
        </a:prstGeom>
      </xdr:spPr>
    </xdr:pic>
    <xdr:clientData/>
  </xdr:twoCellAnchor>
  <xdr:twoCellAnchor editAs="oneCell">
    <xdr:from>
      <xdr:col>22</xdr:col>
      <xdr:colOff>602316</xdr:colOff>
      <xdr:row>27</xdr:row>
      <xdr:rowOff>154081</xdr:rowOff>
    </xdr:from>
    <xdr:to>
      <xdr:col>28</xdr:col>
      <xdr:colOff>32928</xdr:colOff>
      <xdr:row>36</xdr:row>
      <xdr:rowOff>100242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FDC38A4-A0EB-BA3D-D57D-A39E9535B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99026" y="5259761"/>
          <a:ext cx="3086531" cy="1648055"/>
        </a:xfrm>
        <a:prstGeom prst="rect">
          <a:avLst/>
        </a:prstGeom>
      </xdr:spPr>
    </xdr:pic>
    <xdr:clientData/>
  </xdr:twoCellAnchor>
  <xdr:twoCellAnchor>
    <xdr:from>
      <xdr:col>0</xdr:col>
      <xdr:colOff>1064559</xdr:colOff>
      <xdr:row>67</xdr:row>
      <xdr:rowOff>63034</xdr:rowOff>
    </xdr:from>
    <xdr:to>
      <xdr:col>8</xdr:col>
      <xdr:colOff>476250</xdr:colOff>
      <xdr:row>71</xdr:row>
      <xdr:rowOff>133071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4C63E7F-3D21-C2BE-6563-D31EF8BC42FB}"/>
            </a:ext>
          </a:extLst>
        </xdr:cNvPr>
        <xdr:cNvSpPr txBox="1"/>
      </xdr:nvSpPr>
      <xdr:spPr>
        <a:xfrm>
          <a:off x="1064559" y="12732685"/>
          <a:ext cx="7017684" cy="8264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</a:t>
          </a:r>
        </a:p>
        <a:p>
          <a:r>
            <a:rPr lang="en-US" sz="1100"/>
            <a:t>Resource utilization for the first facility will reduce when a second facility is</a:t>
          </a:r>
          <a:r>
            <a:rPr lang="en-US" sz="1100" baseline="0"/>
            <a:t> added as the ships that would otherwise be serviced by facility 1 will be handled by facility 2 rather than waiting for facility 1 to be available. This will also reduce overall wait times and return ships to service faster, but will lead to greater facility idle time (and likely greater facility costs).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2746-2CBB-4B5E-8DC3-428D351DF404}">
  <dimension ref="A1:S67"/>
  <sheetViews>
    <sheetView tabSelected="1" topLeftCell="A46" zoomScale="136" workbookViewId="0">
      <selection activeCell="F76" sqref="F76"/>
    </sheetView>
  </sheetViews>
  <sheetFormatPr defaultRowHeight="15" x14ac:dyDescent="0.25"/>
  <cols>
    <col min="1" max="1" width="16.140625" bestFit="1" customWidth="1"/>
    <col min="2" max="2" width="13.28515625" bestFit="1" customWidth="1"/>
    <col min="3" max="3" width="15.5703125" bestFit="1" customWidth="1"/>
    <col min="4" max="4" width="17.85546875" bestFit="1" customWidth="1"/>
    <col min="5" max="5" width="28.42578125" bestFit="1" customWidth="1"/>
    <col min="6" max="6" width="12.28515625" bestFit="1" customWidth="1"/>
    <col min="7" max="7" width="11.140625" bestFit="1" customWidth="1"/>
    <col min="8" max="8" width="28.5703125" bestFit="1" customWidth="1"/>
    <col min="9" max="9" width="44.140625" bestFit="1" customWidth="1"/>
    <col min="10" max="10" width="28.5703125" bestFit="1" customWidth="1"/>
    <col min="11" max="11" width="31.5703125" bestFit="1" customWidth="1"/>
    <col min="12" max="12" width="20.7109375" bestFit="1" customWidth="1"/>
    <col min="13" max="13" width="17.28515625" bestFit="1" customWidth="1"/>
    <col min="14" max="14" width="19" bestFit="1" customWidth="1"/>
    <col min="16" max="16" width="23.42578125" bestFit="1" customWidth="1"/>
    <col min="23" max="23" width="9.140625" customWidth="1"/>
  </cols>
  <sheetData>
    <row r="1" spans="1:3" x14ac:dyDescent="0.25">
      <c r="A1" t="s">
        <v>0</v>
      </c>
    </row>
    <row r="11" spans="1:3" x14ac:dyDescent="0.25">
      <c r="A11" t="s">
        <v>1</v>
      </c>
      <c r="B11" t="s">
        <v>2</v>
      </c>
      <c r="C11" t="s">
        <v>3</v>
      </c>
    </row>
    <row r="12" spans="1:3" x14ac:dyDescent="0.25">
      <c r="A12">
        <v>5</v>
      </c>
      <c r="B12">
        <v>3</v>
      </c>
      <c r="C12">
        <f>A12*B12</f>
        <v>15</v>
      </c>
    </row>
    <row r="13" spans="1:3" x14ac:dyDescent="0.25">
      <c r="A13">
        <v>10</v>
      </c>
      <c r="B13">
        <v>4</v>
      </c>
      <c r="C13">
        <f t="shared" ref="C13:C15" si="0">A13*B13</f>
        <v>40</v>
      </c>
    </row>
    <row r="14" spans="1:3" x14ac:dyDescent="0.25">
      <c r="A14">
        <v>6</v>
      </c>
      <c r="B14">
        <v>2</v>
      </c>
      <c r="C14">
        <f t="shared" si="0"/>
        <v>12</v>
      </c>
    </row>
    <row r="15" spans="1:3" x14ac:dyDescent="0.25">
      <c r="A15">
        <v>9</v>
      </c>
      <c r="B15">
        <v>3</v>
      </c>
      <c r="C15">
        <f t="shared" si="0"/>
        <v>27</v>
      </c>
    </row>
    <row r="16" spans="1:3" x14ac:dyDescent="0.25">
      <c r="B16" t="s">
        <v>4</v>
      </c>
      <c r="C16">
        <f>SUM(C12:C15)</f>
        <v>94</v>
      </c>
    </row>
    <row r="18" spans="1:18" x14ac:dyDescent="0.25">
      <c r="B18" t="s">
        <v>5</v>
      </c>
      <c r="C18">
        <f>1/(SUM(A12:A15))</f>
        <v>3.3333333333333333E-2</v>
      </c>
    </row>
    <row r="20" spans="1:18" x14ac:dyDescent="0.25">
      <c r="B20" t="s">
        <v>6</v>
      </c>
      <c r="C20" s="3">
        <f>C18*C16</f>
        <v>3.1333333333333333</v>
      </c>
      <c r="D20" t="s">
        <v>7</v>
      </c>
    </row>
    <row r="22" spans="1:18" s="1" customFormat="1" x14ac:dyDescent="0.25"/>
    <row r="23" spans="1:18" x14ac:dyDescent="0.25">
      <c r="A23" t="s">
        <v>8</v>
      </c>
      <c r="J23" t="s">
        <v>45</v>
      </c>
      <c r="K23" t="s">
        <v>23</v>
      </c>
    </row>
    <row r="24" spans="1:18" x14ac:dyDescent="0.25">
      <c r="A24" t="s">
        <v>9</v>
      </c>
      <c r="B24" t="s">
        <v>10</v>
      </c>
      <c r="D24" t="s">
        <v>11</v>
      </c>
      <c r="E24" t="s">
        <v>18</v>
      </c>
      <c r="F24" t="s">
        <v>12</v>
      </c>
      <c r="G24" t="s">
        <v>13</v>
      </c>
      <c r="H24" t="s">
        <v>14</v>
      </c>
      <c r="I24" t="s">
        <v>15</v>
      </c>
      <c r="J24" t="s">
        <v>16</v>
      </c>
      <c r="K24" t="s">
        <v>17</v>
      </c>
      <c r="L24" t="s">
        <v>20</v>
      </c>
      <c r="M24" t="s">
        <v>19</v>
      </c>
      <c r="N24" t="s">
        <v>36</v>
      </c>
    </row>
    <row r="25" spans="1:18" x14ac:dyDescent="0.25">
      <c r="A25">
        <v>0</v>
      </c>
      <c r="B25">
        <v>2.2000000000000002</v>
      </c>
      <c r="D25">
        <v>1</v>
      </c>
      <c r="E25">
        <f>A25</f>
        <v>0</v>
      </c>
      <c r="F25">
        <f>B25</f>
        <v>2.2000000000000002</v>
      </c>
      <c r="G25">
        <f>E25</f>
        <v>0</v>
      </c>
      <c r="H25">
        <f>MAX(E25,G25)</f>
        <v>0</v>
      </c>
      <c r="I25">
        <f>H25+F25</f>
        <v>2.2000000000000002</v>
      </c>
      <c r="J25">
        <f>H25-G25</f>
        <v>0</v>
      </c>
      <c r="K25">
        <f>H25</f>
        <v>0</v>
      </c>
      <c r="L25">
        <v>0</v>
      </c>
      <c r="M25">
        <f>MAX(IF(G26&lt;I25,L25+COUNTIF($G$26:$G$30,"&lt;"&amp;I25),L25-1),0)</f>
        <v>1</v>
      </c>
      <c r="N25" s="5">
        <f>(I25-K25)/I25</f>
        <v>1</v>
      </c>
    </row>
    <row r="26" spans="1:18" x14ac:dyDescent="0.25">
      <c r="A26">
        <v>1.4</v>
      </c>
      <c r="B26">
        <v>1.2</v>
      </c>
      <c r="D26">
        <v>2</v>
      </c>
      <c r="E26">
        <f t="shared" ref="E26:E30" si="1">A26</f>
        <v>1.4</v>
      </c>
      <c r="F26">
        <f t="shared" ref="F26:F30" si="2">B26</f>
        <v>1.2</v>
      </c>
      <c r="G26">
        <f>G25+E26</f>
        <v>1.4</v>
      </c>
      <c r="H26">
        <f>MAX(G26,H25+F25)</f>
        <v>2.2000000000000002</v>
      </c>
      <c r="I26">
        <f t="shared" ref="I26:I29" si="3">H26+F26</f>
        <v>3.4000000000000004</v>
      </c>
      <c r="J26">
        <f t="shared" ref="J26:J30" si="4">H26-G26</f>
        <v>0.80000000000000027</v>
      </c>
      <c r="K26">
        <f>H26-I25</f>
        <v>0</v>
      </c>
      <c r="L26">
        <f>M25</f>
        <v>1</v>
      </c>
      <c r="M26">
        <f>MAX(IF(G27&lt;I26,L26+COUNTIF(G27:G30,"&lt;"&amp;I26),L26-1),0)</f>
        <v>0</v>
      </c>
      <c r="N26" s="5">
        <f>(I26-SUM(K25:K26))/I26</f>
        <v>1</v>
      </c>
    </row>
    <row r="27" spans="1:18" x14ac:dyDescent="0.25">
      <c r="A27">
        <v>2.1</v>
      </c>
      <c r="B27">
        <v>0.3</v>
      </c>
      <c r="D27">
        <v>3</v>
      </c>
      <c r="E27">
        <f t="shared" si="1"/>
        <v>2.1</v>
      </c>
      <c r="F27">
        <f t="shared" si="2"/>
        <v>0.3</v>
      </c>
      <c r="G27">
        <f t="shared" ref="G27:G30" si="5">G26+E27</f>
        <v>3.5</v>
      </c>
      <c r="H27">
        <f>MAX(G27,H26+F26)</f>
        <v>3.5</v>
      </c>
      <c r="I27">
        <f t="shared" si="3"/>
        <v>3.8</v>
      </c>
      <c r="J27">
        <f t="shared" si="4"/>
        <v>0</v>
      </c>
      <c r="K27">
        <f t="shared" ref="K27:K30" si="6">H27-I26</f>
        <v>9.9999999999999645E-2</v>
      </c>
      <c r="L27">
        <f t="shared" ref="L27:L30" si="7">M26</f>
        <v>0</v>
      </c>
      <c r="M27">
        <f>MAX(IF(G28&lt;I27,L27+COUNTIF(G28:G30,"&lt;"&amp;I27),L27-1),0)</f>
        <v>0</v>
      </c>
      <c r="N27" s="5">
        <f>(I27-SUM(K25:K27))/I27</f>
        <v>0.97368421052631593</v>
      </c>
    </row>
    <row r="28" spans="1:18" x14ac:dyDescent="0.25">
      <c r="A28">
        <v>1.9</v>
      </c>
      <c r="B28">
        <v>2.8</v>
      </c>
      <c r="D28">
        <v>4</v>
      </c>
      <c r="E28">
        <f t="shared" si="1"/>
        <v>1.9</v>
      </c>
      <c r="F28">
        <f t="shared" si="2"/>
        <v>2.8</v>
      </c>
      <c r="G28">
        <f t="shared" si="5"/>
        <v>5.4</v>
      </c>
      <c r="H28">
        <f>MAX(G28,H27+F27)</f>
        <v>5.4</v>
      </c>
      <c r="I28">
        <f t="shared" si="3"/>
        <v>8.1999999999999993</v>
      </c>
      <c r="J28">
        <f t="shared" si="4"/>
        <v>0</v>
      </c>
      <c r="K28">
        <f t="shared" si="6"/>
        <v>1.6000000000000005</v>
      </c>
      <c r="L28">
        <f t="shared" si="7"/>
        <v>0</v>
      </c>
      <c r="M28">
        <f>MAX(IF(G29&lt;I28,L28+COUNTIF(G29:G30,"&lt;"&amp;I28),L28-1),0)</f>
        <v>2</v>
      </c>
      <c r="N28" s="5">
        <f>(I28-SUM(K25:K28))/I28</f>
        <v>0.79268292682926822</v>
      </c>
    </row>
    <row r="29" spans="1:18" x14ac:dyDescent="0.25">
      <c r="A29">
        <v>0.2</v>
      </c>
      <c r="B29">
        <v>0.2</v>
      </c>
      <c r="D29">
        <v>5</v>
      </c>
      <c r="E29">
        <f t="shared" si="1"/>
        <v>0.2</v>
      </c>
      <c r="F29">
        <f t="shared" si="2"/>
        <v>0.2</v>
      </c>
      <c r="G29">
        <f t="shared" si="5"/>
        <v>5.6000000000000005</v>
      </c>
      <c r="H29">
        <f>MAX(G29,H28+F28)</f>
        <v>8.1999999999999993</v>
      </c>
      <c r="I29">
        <f t="shared" si="3"/>
        <v>8.3999999999999986</v>
      </c>
      <c r="J29">
        <f t="shared" si="4"/>
        <v>2.5999999999999988</v>
      </c>
      <c r="K29">
        <f t="shared" si="6"/>
        <v>0</v>
      </c>
      <c r="L29">
        <f t="shared" si="7"/>
        <v>2</v>
      </c>
      <c r="M29" s="2">
        <v>1</v>
      </c>
      <c r="N29" s="5">
        <f>(I29-SUM(K25:K29))/I29</f>
        <v>0.79761904761904756</v>
      </c>
    </row>
    <row r="30" spans="1:18" x14ac:dyDescent="0.25">
      <c r="A30">
        <v>1.5</v>
      </c>
      <c r="B30">
        <v>1.8</v>
      </c>
      <c r="D30">
        <v>6</v>
      </c>
      <c r="E30">
        <f t="shared" si="1"/>
        <v>1.5</v>
      </c>
      <c r="F30">
        <f t="shared" si="2"/>
        <v>1.8</v>
      </c>
      <c r="G30">
        <f t="shared" si="5"/>
        <v>7.1000000000000005</v>
      </c>
      <c r="H30">
        <f>MAX(G30,H29+F29)</f>
        <v>8.3999999999999986</v>
      </c>
      <c r="I30">
        <f>H30+F30</f>
        <v>10.199999999999999</v>
      </c>
      <c r="J30">
        <f t="shared" si="4"/>
        <v>1.299999999999998</v>
      </c>
      <c r="K30">
        <f t="shared" si="6"/>
        <v>0</v>
      </c>
      <c r="L30">
        <f t="shared" si="7"/>
        <v>1</v>
      </c>
      <c r="M30">
        <f>0</f>
        <v>0</v>
      </c>
      <c r="N30" s="5">
        <f>(I30-SUM(K25:K30))/I30</f>
        <v>0.83333333333333337</v>
      </c>
    </row>
    <row r="31" spans="1:18" x14ac:dyDescent="0.25">
      <c r="C31" t="s">
        <v>21</v>
      </c>
      <c r="J31">
        <f>SUM(J25:J30)</f>
        <v>4.6999999999999975</v>
      </c>
      <c r="K31">
        <f>SUM(K25:K30)</f>
        <v>1.7000000000000002</v>
      </c>
      <c r="Q31" t="s">
        <v>37</v>
      </c>
      <c r="R31" t="s">
        <v>38</v>
      </c>
    </row>
    <row r="32" spans="1:18" x14ac:dyDescent="0.25">
      <c r="C32" t="s">
        <v>22</v>
      </c>
      <c r="J32">
        <f>AVERAGE(J25:J30)</f>
        <v>0.78333333333333288</v>
      </c>
      <c r="P32" t="s">
        <v>24</v>
      </c>
      <c r="Q32" s="3">
        <f>MIN(M25:M30)</f>
        <v>0</v>
      </c>
    </row>
    <row r="33" spans="1:19" x14ac:dyDescent="0.25">
      <c r="P33" t="s">
        <v>25</v>
      </c>
      <c r="Q33" s="3">
        <f>MAX(M25:M30)</f>
        <v>2</v>
      </c>
    </row>
    <row r="34" spans="1:19" x14ac:dyDescent="0.25">
      <c r="P34" t="s">
        <v>26</v>
      </c>
      <c r="Q34" s="3">
        <f>J31</f>
        <v>4.6999999999999975</v>
      </c>
      <c r="S34" t="s">
        <v>30</v>
      </c>
    </row>
    <row r="35" spans="1:19" x14ac:dyDescent="0.25">
      <c r="P35" t="s">
        <v>27</v>
      </c>
      <c r="Q35" s="3">
        <f>J32</f>
        <v>0.78333333333333288</v>
      </c>
      <c r="R35" s="3">
        <f>(1/D30)*SUM(J25:J30)</f>
        <v>0.78333333333333288</v>
      </c>
      <c r="S35" t="s">
        <v>30</v>
      </c>
    </row>
    <row r="36" spans="1:19" x14ac:dyDescent="0.25">
      <c r="P36" t="s">
        <v>28</v>
      </c>
      <c r="Q36" s="3">
        <f>K31</f>
        <v>1.7000000000000002</v>
      </c>
      <c r="S36" t="s">
        <v>30</v>
      </c>
    </row>
    <row r="37" spans="1:19" x14ac:dyDescent="0.25">
      <c r="P37" t="s">
        <v>29</v>
      </c>
      <c r="Q37" s="4">
        <f>N30</f>
        <v>0.83333333333333337</v>
      </c>
      <c r="R37" s="4">
        <f>(I30-Q36)/I30</f>
        <v>0.83333333333333337</v>
      </c>
      <c r="S37" t="s">
        <v>31</v>
      </c>
    </row>
    <row r="39" spans="1:19" s="1" customFormat="1" x14ac:dyDescent="0.25"/>
    <row r="40" spans="1:19" x14ac:dyDescent="0.25">
      <c r="A40" t="s">
        <v>32</v>
      </c>
      <c r="E40" t="s">
        <v>46</v>
      </c>
      <c r="H40" t="s">
        <v>45</v>
      </c>
      <c r="I40" t="s">
        <v>47</v>
      </c>
    </row>
    <row r="41" spans="1:19" x14ac:dyDescent="0.25">
      <c r="A41" t="s">
        <v>39</v>
      </c>
      <c r="B41" t="s">
        <v>33</v>
      </c>
      <c r="C41" t="s">
        <v>34</v>
      </c>
      <c r="D41" t="s">
        <v>12</v>
      </c>
      <c r="E41" t="s">
        <v>35</v>
      </c>
      <c r="F41" t="s">
        <v>14</v>
      </c>
      <c r="G41" t="s">
        <v>15</v>
      </c>
      <c r="H41" t="s">
        <v>16</v>
      </c>
      <c r="I41" t="s">
        <v>44</v>
      </c>
      <c r="J41" t="s">
        <v>36</v>
      </c>
    </row>
    <row r="42" spans="1:19" x14ac:dyDescent="0.25">
      <c r="A42">
        <v>1</v>
      </c>
      <c r="B42">
        <v>1</v>
      </c>
      <c r="C42">
        <v>0</v>
      </c>
      <c r="D42">
        <v>2.5</v>
      </c>
      <c r="E42">
        <f>C42</f>
        <v>0</v>
      </c>
      <c r="F42">
        <v>0</v>
      </c>
      <c r="G42">
        <f>F42+D42</f>
        <v>2.5</v>
      </c>
      <c r="H42">
        <f>F42-E42</f>
        <v>0</v>
      </c>
      <c r="I42">
        <v>0</v>
      </c>
      <c r="J42" s="5">
        <v>1</v>
      </c>
    </row>
    <row r="43" spans="1:19" x14ac:dyDescent="0.25">
      <c r="A43">
        <f>A42+1</f>
        <v>2</v>
      </c>
      <c r="B43">
        <f>B42+1</f>
        <v>2</v>
      </c>
      <c r="C43">
        <v>1</v>
      </c>
      <c r="E43">
        <f>E42+C43</f>
        <v>1</v>
      </c>
      <c r="I43">
        <f>F44-G42</f>
        <v>0</v>
      </c>
      <c r="J43" s="5">
        <f>1</f>
        <v>1</v>
      </c>
    </row>
    <row r="44" spans="1:19" x14ac:dyDescent="0.25">
      <c r="A44">
        <f t="shared" ref="A44:A61" si="8">A43+1</f>
        <v>3</v>
      </c>
      <c r="B44">
        <f t="shared" ref="B44:B60" si="9">B43+1</f>
        <v>3</v>
      </c>
      <c r="C44">
        <v>1</v>
      </c>
      <c r="D44">
        <v>2</v>
      </c>
      <c r="E44">
        <f t="shared" ref="E44:E61" si="10">E43+C44</f>
        <v>2</v>
      </c>
      <c r="F44">
        <f>G42</f>
        <v>2.5</v>
      </c>
      <c r="G44">
        <f>F44+D44</f>
        <v>4.5</v>
      </c>
      <c r="H44">
        <f t="shared" ref="H44:H60" si="11">F44-E44</f>
        <v>0.5</v>
      </c>
      <c r="I44">
        <f>F44-G42</f>
        <v>0</v>
      </c>
      <c r="J44" s="5">
        <f>1</f>
        <v>1</v>
      </c>
    </row>
    <row r="45" spans="1:19" x14ac:dyDescent="0.25">
      <c r="A45">
        <f t="shared" si="8"/>
        <v>4</v>
      </c>
      <c r="B45">
        <f t="shared" si="9"/>
        <v>4</v>
      </c>
      <c r="C45">
        <v>1</v>
      </c>
      <c r="E45">
        <f t="shared" si="10"/>
        <v>3</v>
      </c>
      <c r="I45">
        <f>F46-G44</f>
        <v>0</v>
      </c>
      <c r="J45" s="5">
        <f>1</f>
        <v>1</v>
      </c>
    </row>
    <row r="46" spans="1:19" x14ac:dyDescent="0.25">
      <c r="A46">
        <f t="shared" si="8"/>
        <v>5</v>
      </c>
      <c r="B46">
        <f t="shared" si="9"/>
        <v>5</v>
      </c>
      <c r="C46">
        <v>1</v>
      </c>
      <c r="D46">
        <v>3</v>
      </c>
      <c r="E46">
        <f t="shared" si="10"/>
        <v>4</v>
      </c>
      <c r="F46">
        <f>G44</f>
        <v>4.5</v>
      </c>
      <c r="G46">
        <f>F46+D46</f>
        <v>7.5</v>
      </c>
      <c r="H46">
        <f t="shared" si="11"/>
        <v>0.5</v>
      </c>
      <c r="I46">
        <f>F46-G44</f>
        <v>0</v>
      </c>
      <c r="J46" s="5">
        <f>1</f>
        <v>1</v>
      </c>
    </row>
    <row r="47" spans="1:19" x14ac:dyDescent="0.25">
      <c r="A47">
        <f t="shared" si="8"/>
        <v>6</v>
      </c>
      <c r="B47">
        <f t="shared" si="9"/>
        <v>6</v>
      </c>
      <c r="C47">
        <v>1</v>
      </c>
      <c r="D47">
        <v>1.5</v>
      </c>
      <c r="E47">
        <f t="shared" si="10"/>
        <v>5</v>
      </c>
      <c r="F47">
        <f>G46</f>
        <v>7.5</v>
      </c>
      <c r="G47">
        <f>F47+D47</f>
        <v>9</v>
      </c>
      <c r="H47">
        <f t="shared" si="11"/>
        <v>2.5</v>
      </c>
      <c r="I47">
        <f>F47-G46</f>
        <v>0</v>
      </c>
      <c r="J47" s="5">
        <f>1</f>
        <v>1</v>
      </c>
    </row>
    <row r="48" spans="1:19" x14ac:dyDescent="0.25">
      <c r="A48">
        <f t="shared" si="8"/>
        <v>7</v>
      </c>
      <c r="B48">
        <f t="shared" si="9"/>
        <v>7</v>
      </c>
      <c r="C48">
        <v>1</v>
      </c>
      <c r="E48">
        <f t="shared" si="10"/>
        <v>6</v>
      </c>
      <c r="I48">
        <f>F49-G47</f>
        <v>0</v>
      </c>
      <c r="J48" s="5">
        <f>1</f>
        <v>1</v>
      </c>
    </row>
    <row r="49" spans="1:15" x14ac:dyDescent="0.25">
      <c r="A49">
        <f t="shared" si="8"/>
        <v>8</v>
      </c>
      <c r="B49">
        <f t="shared" si="9"/>
        <v>8</v>
      </c>
      <c r="C49">
        <v>1</v>
      </c>
      <c r="D49">
        <v>2</v>
      </c>
      <c r="E49">
        <f t="shared" si="10"/>
        <v>7</v>
      </c>
      <c r="F49">
        <f>G47</f>
        <v>9</v>
      </c>
      <c r="G49">
        <f>F49+D49</f>
        <v>11</v>
      </c>
      <c r="H49">
        <f t="shared" si="11"/>
        <v>2</v>
      </c>
      <c r="I49">
        <f>F49-G47</f>
        <v>0</v>
      </c>
      <c r="J49" s="5">
        <f>1</f>
        <v>1</v>
      </c>
    </row>
    <row r="50" spans="1:15" x14ac:dyDescent="0.25">
      <c r="A50">
        <f t="shared" si="8"/>
        <v>9</v>
      </c>
      <c r="B50">
        <f t="shared" si="9"/>
        <v>9</v>
      </c>
      <c r="C50">
        <v>1</v>
      </c>
      <c r="D50">
        <v>1</v>
      </c>
      <c r="E50">
        <f t="shared" si="10"/>
        <v>8</v>
      </c>
      <c r="F50">
        <f>G49</f>
        <v>11</v>
      </c>
      <c r="G50">
        <f>F50+D50</f>
        <v>12</v>
      </c>
      <c r="H50">
        <f t="shared" si="11"/>
        <v>3</v>
      </c>
      <c r="I50">
        <f>F50-G49</f>
        <v>0</v>
      </c>
      <c r="J50" s="5">
        <f>1</f>
        <v>1</v>
      </c>
    </row>
    <row r="51" spans="1:15" x14ac:dyDescent="0.25">
      <c r="A51">
        <f t="shared" si="8"/>
        <v>10</v>
      </c>
      <c r="B51">
        <f t="shared" si="9"/>
        <v>10</v>
      </c>
      <c r="C51">
        <v>1</v>
      </c>
      <c r="E51">
        <f t="shared" si="10"/>
        <v>9</v>
      </c>
      <c r="I51">
        <f>F54-G50</f>
        <v>0</v>
      </c>
      <c r="J51" s="5">
        <f>1</f>
        <v>1</v>
      </c>
    </row>
    <row r="52" spans="1:15" x14ac:dyDescent="0.25">
      <c r="A52">
        <f t="shared" si="8"/>
        <v>11</v>
      </c>
      <c r="B52">
        <f t="shared" si="9"/>
        <v>11</v>
      </c>
      <c r="C52">
        <v>1</v>
      </c>
      <c r="E52">
        <f t="shared" si="10"/>
        <v>10</v>
      </c>
      <c r="I52">
        <f>F54-G50</f>
        <v>0</v>
      </c>
      <c r="J52" s="5">
        <f>1</f>
        <v>1</v>
      </c>
    </row>
    <row r="53" spans="1:15" x14ac:dyDescent="0.25">
      <c r="A53">
        <f t="shared" si="8"/>
        <v>12</v>
      </c>
      <c r="B53">
        <f t="shared" si="9"/>
        <v>12</v>
      </c>
      <c r="C53">
        <v>1</v>
      </c>
      <c r="E53">
        <f t="shared" si="10"/>
        <v>11</v>
      </c>
      <c r="I53">
        <f>F54-G50</f>
        <v>0</v>
      </c>
      <c r="J53" s="5">
        <f>1</f>
        <v>1</v>
      </c>
    </row>
    <row r="54" spans="1:15" x14ac:dyDescent="0.25">
      <c r="A54">
        <f t="shared" si="8"/>
        <v>13</v>
      </c>
      <c r="B54">
        <f>B53+1</f>
        <v>13</v>
      </c>
      <c r="C54">
        <v>1</v>
      </c>
      <c r="D54">
        <v>2</v>
      </c>
      <c r="E54">
        <f t="shared" si="10"/>
        <v>12</v>
      </c>
      <c r="F54">
        <f>G50</f>
        <v>12</v>
      </c>
      <c r="G54">
        <f>F54+D54</f>
        <v>14</v>
      </c>
      <c r="H54">
        <f t="shared" si="11"/>
        <v>0</v>
      </c>
      <c r="I54">
        <f>E56-G54</f>
        <v>0</v>
      </c>
      <c r="J54" s="5">
        <f>1</f>
        <v>1</v>
      </c>
    </row>
    <row r="55" spans="1:15" x14ac:dyDescent="0.25">
      <c r="A55">
        <f t="shared" si="8"/>
        <v>14</v>
      </c>
      <c r="B55">
        <f t="shared" si="9"/>
        <v>14</v>
      </c>
      <c r="C55">
        <v>1</v>
      </c>
      <c r="E55">
        <f t="shared" si="10"/>
        <v>13</v>
      </c>
      <c r="I55">
        <f>E56-G54</f>
        <v>0</v>
      </c>
      <c r="J55" s="5">
        <f>1</f>
        <v>1</v>
      </c>
    </row>
    <row r="56" spans="1:15" x14ac:dyDescent="0.25">
      <c r="A56">
        <f t="shared" si="8"/>
        <v>15</v>
      </c>
      <c r="B56">
        <f t="shared" si="9"/>
        <v>15</v>
      </c>
      <c r="C56">
        <v>1</v>
      </c>
      <c r="E56">
        <f t="shared" si="10"/>
        <v>14</v>
      </c>
      <c r="I56">
        <f>E56-G54</f>
        <v>0</v>
      </c>
      <c r="J56" s="5">
        <f>1</f>
        <v>1</v>
      </c>
    </row>
    <row r="57" spans="1:15" x14ac:dyDescent="0.25">
      <c r="A57">
        <f t="shared" si="8"/>
        <v>16</v>
      </c>
      <c r="B57">
        <f t="shared" si="9"/>
        <v>16</v>
      </c>
      <c r="C57">
        <v>1</v>
      </c>
      <c r="D57">
        <v>0.5</v>
      </c>
      <c r="E57">
        <f t="shared" si="10"/>
        <v>15</v>
      </c>
      <c r="F57">
        <v>15</v>
      </c>
      <c r="G57">
        <f>F57+D57</f>
        <v>15.5</v>
      </c>
      <c r="H57">
        <f t="shared" si="11"/>
        <v>0</v>
      </c>
      <c r="I57">
        <f>F57-G54</f>
        <v>1</v>
      </c>
      <c r="J57" s="5">
        <f>(A57-SUM(I42:I57))/A57</f>
        <v>0.9375</v>
      </c>
    </row>
    <row r="58" spans="1:15" x14ac:dyDescent="0.25">
      <c r="A58">
        <f t="shared" si="8"/>
        <v>17</v>
      </c>
      <c r="B58">
        <f>B57+1</f>
        <v>17</v>
      </c>
      <c r="C58">
        <v>1</v>
      </c>
      <c r="E58">
        <f t="shared" si="10"/>
        <v>16</v>
      </c>
      <c r="I58">
        <f>E58-G57</f>
        <v>0.5</v>
      </c>
      <c r="J58" s="5">
        <f>(A58-SUM(I42:I58))/A58</f>
        <v>0.91176470588235292</v>
      </c>
    </row>
    <row r="59" spans="1:15" x14ac:dyDescent="0.25">
      <c r="A59">
        <f t="shared" si="8"/>
        <v>18</v>
      </c>
      <c r="B59">
        <f t="shared" si="9"/>
        <v>18</v>
      </c>
      <c r="C59">
        <v>1</v>
      </c>
      <c r="D59">
        <v>1.5</v>
      </c>
      <c r="E59">
        <f t="shared" si="10"/>
        <v>17</v>
      </c>
      <c r="F59">
        <v>17</v>
      </c>
      <c r="G59">
        <f>F59+D59</f>
        <v>18.5</v>
      </c>
      <c r="H59">
        <f t="shared" si="11"/>
        <v>0</v>
      </c>
      <c r="I59">
        <f>F59-E58</f>
        <v>1</v>
      </c>
      <c r="J59" s="5">
        <f>(A59-SUM(I42:I59))/A59</f>
        <v>0.86111111111111116</v>
      </c>
    </row>
    <row r="60" spans="1:15" x14ac:dyDescent="0.25">
      <c r="A60">
        <f t="shared" si="8"/>
        <v>19</v>
      </c>
      <c r="B60">
        <f t="shared" si="9"/>
        <v>19</v>
      </c>
      <c r="C60">
        <v>1</v>
      </c>
      <c r="D60">
        <v>3</v>
      </c>
      <c r="E60">
        <f t="shared" si="10"/>
        <v>18</v>
      </c>
      <c r="F60">
        <f>G59</f>
        <v>18.5</v>
      </c>
      <c r="G60">
        <f>F60+D60</f>
        <v>21.5</v>
      </c>
      <c r="H60">
        <f t="shared" si="11"/>
        <v>0.5</v>
      </c>
      <c r="I60">
        <f>F60-G59</f>
        <v>0</v>
      </c>
      <c r="J60" s="5">
        <f>(A60-SUM(I42:I60))/A60</f>
        <v>0.86842105263157898</v>
      </c>
    </row>
    <row r="61" spans="1:15" x14ac:dyDescent="0.25">
      <c r="A61">
        <f t="shared" si="8"/>
        <v>20</v>
      </c>
      <c r="B61">
        <f>B60+1</f>
        <v>20</v>
      </c>
      <c r="C61">
        <v>1</v>
      </c>
      <c r="E61">
        <f t="shared" si="10"/>
        <v>19</v>
      </c>
      <c r="I61">
        <v>0</v>
      </c>
      <c r="J61" s="5">
        <f>(A61-SUM(I42:I61))/A61</f>
        <v>0.875</v>
      </c>
    </row>
    <row r="62" spans="1:15" x14ac:dyDescent="0.25">
      <c r="G62" t="s">
        <v>42</v>
      </c>
      <c r="H62">
        <f>SUM(H42:H61)</f>
        <v>9</v>
      </c>
      <c r="I62">
        <f>SUM(I42:I61)</f>
        <v>2.5</v>
      </c>
      <c r="M62" t="s">
        <v>37</v>
      </c>
      <c r="N62" t="s">
        <v>38</v>
      </c>
    </row>
    <row r="63" spans="1:15" x14ac:dyDescent="0.25">
      <c r="G63" t="s">
        <v>22</v>
      </c>
      <c r="H63">
        <f>AVERAGE(H42:H61)</f>
        <v>0.9</v>
      </c>
      <c r="L63" t="s">
        <v>40</v>
      </c>
      <c r="M63" s="3">
        <f>H63</f>
        <v>0.9</v>
      </c>
      <c r="N63" s="3">
        <f>(1/COUNT(F42,F44,F46,F47,F49,F50,F54,F57,F59,F60))*SUM(H42:H60)</f>
        <v>0.9</v>
      </c>
      <c r="O63" t="s">
        <v>41</v>
      </c>
    </row>
    <row r="64" spans="1:15" x14ac:dyDescent="0.25">
      <c r="L64" t="s">
        <v>36</v>
      </c>
      <c r="M64" s="4">
        <f>J61</f>
        <v>0.875</v>
      </c>
      <c r="N64" s="4">
        <f>(A61-I62)/A61</f>
        <v>0.875</v>
      </c>
    </row>
    <row r="66" spans="1:1" s="1" customFormat="1" x14ac:dyDescent="0.25"/>
    <row r="67" spans="1:1" x14ac:dyDescent="0.25">
      <c r="A67" t="s">
        <v>43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6b665fc-95ee-4bc0-ba4f-93fdedf161ac}" enabled="0" method="" siteId="{56b665fc-95ee-4bc0-ba4f-93fdedf161a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Thompson, Chandler R CIV USSOCOM SOCOM (USA)</dc:creator>
  <cp:lastModifiedBy>Chandler Thompson</cp:lastModifiedBy>
  <dcterms:created xsi:type="dcterms:W3CDTF">2026-01-09T13:53:04Z</dcterms:created>
  <dcterms:modified xsi:type="dcterms:W3CDTF">2026-01-11T15:47:24Z</dcterms:modified>
</cp:coreProperties>
</file>