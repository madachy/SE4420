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https://nps01-my.sharepoint.com/personal/glenn_berger_nps_edu/Documents/SE4420/HW/"/>
    </mc:Choice>
  </mc:AlternateContent>
  <xr:revisionPtr revIDLastSave="715" documentId="8_{D3E9A1A1-714D-2C42-9F9C-F6B1A53B201F}" xr6:coauthVersionLast="47" xr6:coauthVersionMax="47" xr10:uidLastSave="{06877CC2-AA7E-E349-9836-A7353FB0C381}"/>
  <bookViews>
    <workbookView xWindow="-46320" yWindow="500" windowWidth="46320" windowHeight="28300" xr2:uid="{D970BE7D-0A46-5F44-BA14-9462C6C6B068}"/>
  </bookViews>
  <sheets>
    <sheet name="HW1" sheetId="1" r:id="rId1"/>
    <sheet name="Verify_From_Class_not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0" i="1" l="1"/>
  <c r="J70" i="1"/>
  <c r="J69" i="1"/>
  <c r="J67" i="1"/>
  <c r="J66" i="1"/>
  <c r="J64" i="1"/>
  <c r="I82" i="1"/>
  <c r="G80" i="1"/>
  <c r="G79" i="1"/>
  <c r="G77" i="1"/>
  <c r="G74" i="1"/>
  <c r="G70" i="1"/>
  <c r="G69" i="1"/>
  <c r="G67" i="1"/>
  <c r="G66" i="1"/>
  <c r="G64" i="1"/>
  <c r="G62" i="1"/>
  <c r="I45" i="1"/>
  <c r="H45" i="1"/>
  <c r="B32" i="1" s="1"/>
  <c r="B29" i="1"/>
  <c r="B28" i="1"/>
  <c r="H40" i="1"/>
  <c r="H38" i="1"/>
  <c r="F39" i="1"/>
  <c r="F41" i="1" s="1"/>
  <c r="E42" i="1" s="1"/>
  <c r="F42" i="1" s="1"/>
  <c r="E44" i="1" s="1"/>
  <c r="F44" i="1" s="1"/>
  <c r="G44" i="1" s="1"/>
  <c r="E36" i="1"/>
  <c r="F36" i="1" s="1"/>
  <c r="G36" i="1" s="1"/>
  <c r="D36" i="1"/>
  <c r="D37" i="1" s="1"/>
  <c r="D39" i="1" s="1"/>
  <c r="T85" i="2"/>
  <c r="T84" i="2"/>
  <c r="T75" i="2"/>
  <c r="T74" i="2"/>
  <c r="T69" i="2"/>
  <c r="T61" i="2"/>
  <c r="T60" i="2"/>
  <c r="T57" i="2"/>
  <c r="T53" i="2"/>
  <c r="T48" i="2"/>
  <c r="T46" i="2"/>
  <c r="T44" i="2"/>
  <c r="T40" i="2"/>
  <c r="T37" i="2"/>
  <c r="Q18" i="2"/>
  <c r="Q19" i="2"/>
  <c r="Q20" i="2"/>
  <c r="Q21" i="2"/>
  <c r="Q22" i="2"/>
  <c r="Q23" i="2"/>
  <c r="Q24" i="2"/>
  <c r="Q17" i="2"/>
  <c r="G17" i="2"/>
  <c r="E17" i="2"/>
  <c r="D19" i="2"/>
  <c r="D20" i="2" s="1"/>
  <c r="D21" i="2" s="1"/>
  <c r="D18" i="2"/>
  <c r="D17" i="2"/>
  <c r="I11" i="2"/>
  <c r="H11" i="2"/>
  <c r="C11" i="2"/>
  <c r="B11" i="2"/>
  <c r="J10" i="2"/>
  <c r="D10" i="2"/>
  <c r="J9" i="2"/>
  <c r="D9" i="2"/>
  <c r="J8" i="2"/>
  <c r="D8" i="2"/>
  <c r="J7" i="2"/>
  <c r="D7" i="2"/>
  <c r="D9" i="1"/>
  <c r="D10" i="1"/>
  <c r="D11" i="1"/>
  <c r="D8" i="1"/>
  <c r="D12" i="1" s="1"/>
  <c r="C12" i="1"/>
  <c r="B12" i="1"/>
  <c r="D13" i="1"/>
  <c r="G82" i="1" l="1"/>
  <c r="B58" i="1" s="1"/>
  <c r="J82" i="1"/>
  <c r="B57" i="1" s="1"/>
  <c r="C13" i="1"/>
  <c r="D41" i="1"/>
  <c r="J39" i="1"/>
  <c r="G42" i="1"/>
  <c r="G41" i="1"/>
  <c r="E37" i="1"/>
  <c r="G39" i="1"/>
  <c r="D22" i="2"/>
  <c r="I35" i="2"/>
  <c r="I43" i="2"/>
  <c r="I51" i="2"/>
  <c r="I67" i="2"/>
  <c r="I36" i="2"/>
  <c r="I44" i="2"/>
  <c r="I52" i="2"/>
  <c r="I68" i="2"/>
  <c r="I37" i="2"/>
  <c r="I45" i="2"/>
  <c r="I53" i="2"/>
  <c r="I69" i="2"/>
  <c r="I38" i="2"/>
  <c r="I46" i="2"/>
  <c r="I54" i="2"/>
  <c r="I70" i="2"/>
  <c r="I39" i="2"/>
  <c r="I47" i="2"/>
  <c r="I55" i="2"/>
  <c r="I71" i="2"/>
  <c r="F17" i="2"/>
  <c r="I59" i="2" s="1"/>
  <c r="I32" i="2"/>
  <c r="I40" i="2"/>
  <c r="I48" i="2"/>
  <c r="I64" i="2"/>
  <c r="I41" i="2"/>
  <c r="I49" i="2"/>
  <c r="I57" i="2"/>
  <c r="I65" i="2"/>
  <c r="I73" i="2"/>
  <c r="I42" i="2"/>
  <c r="I50" i="2"/>
  <c r="I58" i="2"/>
  <c r="I66" i="2"/>
  <c r="I74" i="2"/>
  <c r="I82" i="2"/>
  <c r="J11" i="2"/>
  <c r="I12" i="2" s="1"/>
  <c r="D11" i="2"/>
  <c r="C12" i="2" s="1"/>
  <c r="F37" i="1" l="1"/>
  <c r="G37" i="1" s="1"/>
  <c r="G45" i="1" s="1"/>
  <c r="B33" i="1" s="1"/>
  <c r="J37" i="1"/>
  <c r="D42" i="1"/>
  <c r="J41" i="1"/>
  <c r="I56" i="2"/>
  <c r="I63" i="2"/>
  <c r="I62" i="2"/>
  <c r="I61" i="2"/>
  <c r="I60" i="2"/>
  <c r="G18" i="2"/>
  <c r="S17" i="2"/>
  <c r="R18" i="2" s="1"/>
  <c r="E18" i="2"/>
  <c r="T17" i="2"/>
  <c r="I29" i="2"/>
  <c r="I34" i="2"/>
  <c r="I80" i="2"/>
  <c r="I87" i="2"/>
  <c r="I86" i="2"/>
  <c r="I85" i="2"/>
  <c r="I84" i="2"/>
  <c r="I83" i="2"/>
  <c r="I33" i="2"/>
  <c r="I31" i="2"/>
  <c r="I30" i="2"/>
  <c r="I28" i="2"/>
  <c r="I27" i="2"/>
  <c r="I81" i="2"/>
  <c r="I72" i="2"/>
  <c r="I79" i="2"/>
  <c r="I78" i="2"/>
  <c r="I77" i="2"/>
  <c r="I76" i="2"/>
  <c r="I75" i="2"/>
  <c r="D23" i="2"/>
  <c r="R21" i="2"/>
  <c r="D44" i="1" l="1"/>
  <c r="J42" i="1"/>
  <c r="J40" i="2"/>
  <c r="J48" i="2"/>
  <c r="J56" i="2"/>
  <c r="J64" i="2"/>
  <c r="J72" i="2"/>
  <c r="J47" i="2"/>
  <c r="J55" i="2"/>
  <c r="J63" i="2"/>
  <c r="J71" i="2"/>
  <c r="J79" i="2"/>
  <c r="J46" i="2"/>
  <c r="J54" i="2"/>
  <c r="J62" i="2"/>
  <c r="J70" i="2"/>
  <c r="J78" i="2"/>
  <c r="J45" i="2"/>
  <c r="J53" i="2"/>
  <c r="J61" i="2"/>
  <c r="J69" i="2"/>
  <c r="J77" i="2"/>
  <c r="J44" i="2"/>
  <c r="J52" i="2"/>
  <c r="J60" i="2"/>
  <c r="J68" i="2"/>
  <c r="J76" i="2"/>
  <c r="H18" i="2"/>
  <c r="F18" i="2"/>
  <c r="J31" i="2" s="1"/>
  <c r="J27" i="2"/>
  <c r="J35" i="2"/>
  <c r="J43" i="2"/>
  <c r="J51" i="2"/>
  <c r="J59" i="2"/>
  <c r="J34" i="2"/>
  <c r="J42" i="2"/>
  <c r="J50" i="2"/>
  <c r="J58" i="2"/>
  <c r="J66" i="2"/>
  <c r="J33" i="2"/>
  <c r="J41" i="2"/>
  <c r="J49" i="2"/>
  <c r="J57" i="2"/>
  <c r="J65" i="2"/>
  <c r="J73" i="2"/>
  <c r="T18" i="2"/>
  <c r="D24" i="2"/>
  <c r="R22" i="2"/>
  <c r="J44" i="1" l="1"/>
  <c r="J43" i="1"/>
  <c r="J45" i="1" s="1"/>
  <c r="B31" i="1" s="1"/>
  <c r="U17" i="2"/>
  <c r="J83" i="2"/>
  <c r="J36" i="2"/>
  <c r="J38" i="2"/>
  <c r="J32" i="2"/>
  <c r="J30" i="2"/>
  <c r="U18" i="2"/>
  <c r="S18" i="2"/>
  <c r="R19" i="2" s="1"/>
  <c r="G19" i="2"/>
  <c r="E19" i="2"/>
  <c r="J37" i="2"/>
  <c r="J39" i="2"/>
  <c r="J82" i="2"/>
  <c r="J75" i="2"/>
  <c r="J28" i="2"/>
  <c r="J29" i="2"/>
  <c r="J81" i="2"/>
  <c r="J74" i="2"/>
  <c r="J67" i="2"/>
  <c r="J84" i="2"/>
  <c r="J85" i="2"/>
  <c r="J86" i="2"/>
  <c r="J87" i="2"/>
  <c r="J80" i="2"/>
  <c r="R23" i="2"/>
  <c r="B30" i="1" l="1"/>
  <c r="K32" i="2"/>
  <c r="K39" i="2"/>
  <c r="K38" i="2"/>
  <c r="K37" i="2"/>
  <c r="K36" i="2"/>
  <c r="K35" i="2"/>
  <c r="K42" i="2"/>
  <c r="H19" i="2"/>
  <c r="F19" i="2"/>
  <c r="T19" i="2"/>
  <c r="R24" i="2"/>
  <c r="S19" i="2" l="1"/>
  <c r="R20" i="2" s="1"/>
  <c r="U19" i="2"/>
  <c r="E20" i="2"/>
  <c r="G20" i="2"/>
  <c r="K27" i="2"/>
  <c r="K28" i="2"/>
  <c r="K30" i="2"/>
  <c r="K81" i="2"/>
  <c r="K83" i="2"/>
  <c r="K85" i="2"/>
  <c r="K87" i="2"/>
  <c r="K82" i="2"/>
  <c r="K76" i="2"/>
  <c r="K78" i="2"/>
  <c r="K79" i="2"/>
  <c r="K65" i="2"/>
  <c r="K74" i="2"/>
  <c r="K68" i="2"/>
  <c r="K70" i="2"/>
  <c r="K71" i="2"/>
  <c r="K57" i="2"/>
  <c r="K52" i="2"/>
  <c r="K53" i="2"/>
  <c r="K54" i="2"/>
  <c r="K55" i="2"/>
  <c r="K48" i="2"/>
  <c r="K41" i="2"/>
  <c r="K34" i="2"/>
  <c r="K29" i="2"/>
  <c r="K31" i="2"/>
  <c r="K84" i="2"/>
  <c r="K86" i="2"/>
  <c r="K80" i="2"/>
  <c r="K73" i="2"/>
  <c r="K75" i="2"/>
  <c r="K77" i="2"/>
  <c r="K72" i="2"/>
  <c r="K67" i="2"/>
  <c r="K69" i="2"/>
  <c r="K64" i="2"/>
  <c r="K66" i="2"/>
  <c r="K59" i="2"/>
  <c r="K60" i="2"/>
  <c r="K61" i="2"/>
  <c r="K62" i="2"/>
  <c r="K63" i="2"/>
  <c r="K56" i="2"/>
  <c r="K49" i="2"/>
  <c r="K58" i="2"/>
  <c r="K51" i="2"/>
  <c r="K50" i="2"/>
  <c r="K43" i="2"/>
  <c r="K44" i="2"/>
  <c r="K45" i="2"/>
  <c r="K46" i="2"/>
  <c r="K47" i="2"/>
  <c r="K40" i="2"/>
  <c r="K33" i="2"/>
  <c r="L34" i="2" l="1"/>
  <c r="L42" i="2"/>
  <c r="L50" i="2"/>
  <c r="L58" i="2"/>
  <c r="L66" i="2"/>
  <c r="L33" i="2"/>
  <c r="L41" i="2"/>
  <c r="L49" i="2"/>
  <c r="L57" i="2"/>
  <c r="L65" i="2"/>
  <c r="L73" i="2"/>
  <c r="L40" i="2"/>
  <c r="L48" i="2"/>
  <c r="L56" i="2"/>
  <c r="L64" i="2"/>
  <c r="L72" i="2"/>
  <c r="L80" i="2"/>
  <c r="L47" i="2"/>
  <c r="L55" i="2"/>
  <c r="L63" i="2"/>
  <c r="L71" i="2"/>
  <c r="L79" i="2"/>
  <c r="L87" i="2"/>
  <c r="L46" i="2"/>
  <c r="L54" i="2"/>
  <c r="L62" i="2"/>
  <c r="L70" i="2"/>
  <c r="L78" i="2"/>
  <c r="L86" i="2"/>
  <c r="L45" i="2"/>
  <c r="L53" i="2"/>
  <c r="L61" i="2"/>
  <c r="L69" i="2"/>
  <c r="L77" i="2"/>
  <c r="L85" i="2"/>
  <c r="L44" i="2"/>
  <c r="L52" i="2"/>
  <c r="L60" i="2"/>
  <c r="L68" i="2"/>
  <c r="L76" i="2"/>
  <c r="L84" i="2"/>
  <c r="L43" i="2"/>
  <c r="L51" i="2"/>
  <c r="L59" i="2"/>
  <c r="L67" i="2"/>
  <c r="L75" i="2"/>
  <c r="L83" i="2"/>
  <c r="H20" i="2"/>
  <c r="F20" i="2"/>
  <c r="T20" i="2"/>
  <c r="U20" i="2" l="1"/>
  <c r="E21" i="2"/>
  <c r="G21" i="2"/>
  <c r="L38" i="2"/>
  <c r="L82" i="2"/>
  <c r="L35" i="2"/>
  <c r="L36" i="2"/>
  <c r="L37" i="2"/>
  <c r="L39" i="2"/>
  <c r="L32" i="2"/>
  <c r="L27" i="2"/>
  <c r="L28" i="2"/>
  <c r="L29" i="2"/>
  <c r="L30" i="2"/>
  <c r="L31" i="2"/>
  <c r="L81" i="2"/>
  <c r="L74" i="2"/>
  <c r="M27" i="2" l="1"/>
  <c r="M35" i="2"/>
  <c r="M75" i="2"/>
  <c r="M83" i="2"/>
  <c r="M34" i="2"/>
  <c r="M42" i="2"/>
  <c r="M82" i="2"/>
  <c r="M33" i="2"/>
  <c r="M41" i="2"/>
  <c r="M49" i="2"/>
  <c r="M32" i="2"/>
  <c r="M40" i="2"/>
  <c r="M48" i="2"/>
  <c r="M56" i="2"/>
  <c r="M39" i="2"/>
  <c r="M47" i="2"/>
  <c r="M55" i="2"/>
  <c r="M63" i="2"/>
  <c r="F21" i="2"/>
  <c r="M30" i="2"/>
  <c r="M38" i="2"/>
  <c r="M46" i="2"/>
  <c r="M54" i="2"/>
  <c r="M29" i="2"/>
  <c r="M37" i="2"/>
  <c r="M45" i="2"/>
  <c r="M53" i="2"/>
  <c r="M85" i="2"/>
  <c r="M28" i="2"/>
  <c r="M36" i="2"/>
  <c r="M44" i="2"/>
  <c r="M52" i="2"/>
  <c r="M84" i="2"/>
  <c r="H21" i="2"/>
  <c r="T21" i="2"/>
  <c r="E22" i="2" l="1"/>
  <c r="U21" i="2"/>
  <c r="G22" i="2"/>
  <c r="M81" i="2"/>
  <c r="M67" i="2"/>
  <c r="M77" i="2"/>
  <c r="M78" i="2"/>
  <c r="M80" i="2"/>
  <c r="M73" i="2"/>
  <c r="M66" i="2"/>
  <c r="M59" i="2"/>
  <c r="M68" i="2"/>
  <c r="M69" i="2"/>
  <c r="M70" i="2"/>
  <c r="M79" i="2"/>
  <c r="M72" i="2"/>
  <c r="M65" i="2"/>
  <c r="M58" i="2"/>
  <c r="M51" i="2"/>
  <c r="M86" i="2"/>
  <c r="M31" i="2"/>
  <c r="M74" i="2"/>
  <c r="M76" i="2"/>
  <c r="M87" i="2"/>
  <c r="M60" i="2"/>
  <c r="M61" i="2"/>
  <c r="M62" i="2"/>
  <c r="M71" i="2"/>
  <c r="M64" i="2"/>
  <c r="M57" i="2"/>
  <c r="M50" i="2"/>
  <c r="M43" i="2"/>
  <c r="F22" i="2" l="1"/>
  <c r="N28" i="2"/>
  <c r="N36" i="2"/>
  <c r="N44" i="2"/>
  <c r="N52" i="2"/>
  <c r="N60" i="2"/>
  <c r="N68" i="2"/>
  <c r="N76" i="2"/>
  <c r="N84" i="2"/>
  <c r="N27" i="2"/>
  <c r="N35" i="2"/>
  <c r="N43" i="2"/>
  <c r="N51" i="2"/>
  <c r="N59" i="2"/>
  <c r="N67" i="2"/>
  <c r="N75" i="2"/>
  <c r="N83" i="2"/>
  <c r="N34" i="2"/>
  <c r="N42" i="2"/>
  <c r="N50" i="2"/>
  <c r="N58" i="2"/>
  <c r="N66" i="2"/>
  <c r="N74" i="2"/>
  <c r="N82" i="2"/>
  <c r="N33" i="2"/>
  <c r="N41" i="2"/>
  <c r="N49" i="2"/>
  <c r="N57" i="2"/>
  <c r="N65" i="2"/>
  <c r="N73" i="2"/>
  <c r="N81" i="2"/>
  <c r="N32" i="2"/>
  <c r="N40" i="2"/>
  <c r="N48" i="2"/>
  <c r="N56" i="2"/>
  <c r="N64" i="2"/>
  <c r="N72" i="2"/>
  <c r="N80" i="2"/>
  <c r="N31" i="2"/>
  <c r="N39" i="2"/>
  <c r="N47" i="2"/>
  <c r="N55" i="2"/>
  <c r="N63" i="2"/>
  <c r="N71" i="2"/>
  <c r="N79" i="2"/>
  <c r="N87" i="2"/>
  <c r="N30" i="2"/>
  <c r="N38" i="2"/>
  <c r="N46" i="2"/>
  <c r="N54" i="2"/>
  <c r="N62" i="2"/>
  <c r="N70" i="2"/>
  <c r="N78" i="2"/>
  <c r="N86" i="2"/>
  <c r="N29" i="2"/>
  <c r="N37" i="2"/>
  <c r="N45" i="2"/>
  <c r="N53" i="2"/>
  <c r="N61" i="2"/>
  <c r="N69" i="2"/>
  <c r="N77" i="2"/>
  <c r="N85" i="2"/>
  <c r="H22" i="2"/>
  <c r="T22" i="2"/>
  <c r="E23" i="2" l="1"/>
  <c r="U22" i="2"/>
  <c r="G23" i="2"/>
  <c r="F23" i="2" l="1"/>
  <c r="O29" i="2"/>
  <c r="O37" i="2"/>
  <c r="O45" i="2"/>
  <c r="O53" i="2"/>
  <c r="O61" i="2"/>
  <c r="O69" i="2"/>
  <c r="O77" i="2"/>
  <c r="O85" i="2"/>
  <c r="O28" i="2"/>
  <c r="O36" i="2"/>
  <c r="O44" i="2"/>
  <c r="O52" i="2"/>
  <c r="O60" i="2"/>
  <c r="O68" i="2"/>
  <c r="O76" i="2"/>
  <c r="O84" i="2"/>
  <c r="O27" i="2"/>
  <c r="O35" i="2"/>
  <c r="O43" i="2"/>
  <c r="O51" i="2"/>
  <c r="O59" i="2"/>
  <c r="O67" i="2"/>
  <c r="O75" i="2"/>
  <c r="O83" i="2"/>
  <c r="O34" i="2"/>
  <c r="O42" i="2"/>
  <c r="O50" i="2"/>
  <c r="O58" i="2"/>
  <c r="O66" i="2"/>
  <c r="O74" i="2"/>
  <c r="O82" i="2"/>
  <c r="O33" i="2"/>
  <c r="O41" i="2"/>
  <c r="O49" i="2"/>
  <c r="O57" i="2"/>
  <c r="O65" i="2"/>
  <c r="O73" i="2"/>
  <c r="O81" i="2"/>
  <c r="H23" i="2"/>
  <c r="O32" i="2"/>
  <c r="O40" i="2"/>
  <c r="O48" i="2"/>
  <c r="O56" i="2"/>
  <c r="O64" i="2"/>
  <c r="O72" i="2"/>
  <c r="O80" i="2"/>
  <c r="O31" i="2"/>
  <c r="O39" i="2"/>
  <c r="O47" i="2"/>
  <c r="O55" i="2"/>
  <c r="O63" i="2"/>
  <c r="O71" i="2"/>
  <c r="O79" i="2"/>
  <c r="O87" i="2"/>
  <c r="O30" i="2"/>
  <c r="O38" i="2"/>
  <c r="O46" i="2"/>
  <c r="O54" i="2"/>
  <c r="O62" i="2"/>
  <c r="O70" i="2"/>
  <c r="O78" i="2"/>
  <c r="O86" i="2"/>
  <c r="T23" i="2"/>
  <c r="E24" i="2" l="1"/>
  <c r="G24" i="2"/>
  <c r="U23" i="2"/>
  <c r="F24" i="2" l="1"/>
  <c r="U24" i="2" s="1"/>
  <c r="P30" i="2"/>
  <c r="Q30" i="2" s="1"/>
  <c r="P38" i="2"/>
  <c r="Q38" i="2" s="1"/>
  <c r="P46" i="2"/>
  <c r="Q46" i="2" s="1"/>
  <c r="P54" i="2"/>
  <c r="Q54" i="2" s="1"/>
  <c r="P62" i="2"/>
  <c r="Q62" i="2" s="1"/>
  <c r="P70" i="2"/>
  <c r="Q70" i="2" s="1"/>
  <c r="P78" i="2"/>
  <c r="Q78" i="2" s="1"/>
  <c r="P86" i="2"/>
  <c r="Q86" i="2" s="1"/>
  <c r="P29" i="2"/>
  <c r="Q29" i="2" s="1"/>
  <c r="P37" i="2"/>
  <c r="Q37" i="2" s="1"/>
  <c r="P45" i="2"/>
  <c r="Q45" i="2" s="1"/>
  <c r="P53" i="2"/>
  <c r="Q53" i="2" s="1"/>
  <c r="P61" i="2"/>
  <c r="Q61" i="2" s="1"/>
  <c r="P69" i="2"/>
  <c r="Q69" i="2" s="1"/>
  <c r="P77" i="2"/>
  <c r="Q77" i="2" s="1"/>
  <c r="P85" i="2"/>
  <c r="Q85" i="2" s="1"/>
  <c r="P28" i="2"/>
  <c r="Q28" i="2" s="1"/>
  <c r="P36" i="2"/>
  <c r="Q36" i="2" s="1"/>
  <c r="P44" i="2"/>
  <c r="Q44" i="2" s="1"/>
  <c r="P52" i="2"/>
  <c r="Q52" i="2" s="1"/>
  <c r="P60" i="2"/>
  <c r="Q60" i="2" s="1"/>
  <c r="P68" i="2"/>
  <c r="Q68" i="2" s="1"/>
  <c r="P76" i="2"/>
  <c r="Q76" i="2" s="1"/>
  <c r="P84" i="2"/>
  <c r="Q84" i="2" s="1"/>
  <c r="P27" i="2"/>
  <c r="Q27" i="2" s="1"/>
  <c r="P35" i="2"/>
  <c r="Q35" i="2" s="1"/>
  <c r="P43" i="2"/>
  <c r="Q43" i="2" s="1"/>
  <c r="P51" i="2"/>
  <c r="Q51" i="2" s="1"/>
  <c r="P59" i="2"/>
  <c r="Q59" i="2" s="1"/>
  <c r="P67" i="2"/>
  <c r="Q67" i="2" s="1"/>
  <c r="P75" i="2"/>
  <c r="Q75" i="2" s="1"/>
  <c r="P83" i="2"/>
  <c r="Q83" i="2" s="1"/>
  <c r="P34" i="2"/>
  <c r="Q34" i="2" s="1"/>
  <c r="P42" i="2"/>
  <c r="Q42" i="2" s="1"/>
  <c r="P50" i="2"/>
  <c r="Q50" i="2" s="1"/>
  <c r="P58" i="2"/>
  <c r="Q58" i="2" s="1"/>
  <c r="P66" i="2"/>
  <c r="Q66" i="2" s="1"/>
  <c r="P74" i="2"/>
  <c r="Q74" i="2" s="1"/>
  <c r="P82" i="2"/>
  <c r="Q82" i="2" s="1"/>
  <c r="H24" i="2"/>
  <c r="P33" i="2"/>
  <c r="Q33" i="2" s="1"/>
  <c r="P41" i="2"/>
  <c r="Q41" i="2" s="1"/>
  <c r="P49" i="2"/>
  <c r="Q49" i="2" s="1"/>
  <c r="P57" i="2"/>
  <c r="Q57" i="2" s="1"/>
  <c r="P65" i="2"/>
  <c r="Q65" i="2" s="1"/>
  <c r="P73" i="2"/>
  <c r="Q73" i="2" s="1"/>
  <c r="P81" i="2"/>
  <c r="Q81" i="2" s="1"/>
  <c r="P32" i="2"/>
  <c r="Q32" i="2" s="1"/>
  <c r="P40" i="2"/>
  <c r="Q40" i="2" s="1"/>
  <c r="P48" i="2"/>
  <c r="Q48" i="2" s="1"/>
  <c r="P56" i="2"/>
  <c r="Q56" i="2" s="1"/>
  <c r="P64" i="2"/>
  <c r="Q64" i="2" s="1"/>
  <c r="P72" i="2"/>
  <c r="Q72" i="2" s="1"/>
  <c r="P80" i="2"/>
  <c r="Q80" i="2" s="1"/>
  <c r="P31" i="2"/>
  <c r="Q31" i="2" s="1"/>
  <c r="P39" i="2"/>
  <c r="Q39" i="2" s="1"/>
  <c r="P47" i="2"/>
  <c r="Q47" i="2" s="1"/>
  <c r="P55" i="2"/>
  <c r="Q55" i="2" s="1"/>
  <c r="P63" i="2"/>
  <c r="Q63" i="2" s="1"/>
  <c r="P71" i="2"/>
  <c r="Q71" i="2" s="1"/>
  <c r="P79" i="2"/>
  <c r="Q79" i="2" s="1"/>
  <c r="P87" i="2"/>
  <c r="Q87" i="2" s="1"/>
  <c r="T24" i="2"/>
  <c r="R28" i="2" l="1"/>
  <c r="R32" i="2"/>
  <c r="R50" i="2"/>
  <c r="R66" i="2"/>
  <c r="R59" i="2"/>
  <c r="R36" i="2"/>
  <c r="R37" i="2"/>
  <c r="R68" i="2"/>
  <c r="R82" i="2"/>
  <c r="R71" i="2"/>
  <c r="R29" i="2"/>
  <c r="R48" i="2"/>
  <c r="R63" i="2"/>
  <c r="R52" i="2"/>
  <c r="R74" i="2"/>
  <c r="R86" i="2"/>
  <c r="R65" i="2"/>
  <c r="R56" i="2"/>
  <c r="R43" i="2"/>
  <c r="R77" i="2"/>
  <c r="R31" i="2"/>
  <c r="R58" i="2"/>
  <c r="R44" i="2"/>
  <c r="R60" i="2"/>
  <c r="R34" i="2"/>
  <c r="R76" i="2"/>
  <c r="R69" i="2"/>
  <c r="R33" i="2"/>
  <c r="R78" i="2"/>
  <c r="R72" i="2"/>
  <c r="R54" i="2"/>
  <c r="R39" i="2"/>
  <c r="R61" i="2"/>
  <c r="R85" i="2"/>
  <c r="R51" i="2"/>
  <c r="R55" i="2"/>
  <c r="R41" i="2"/>
  <c r="R62" i="2"/>
  <c r="R87" i="2"/>
  <c r="R38" i="2"/>
  <c r="R70" i="2"/>
  <c r="R46" i="2"/>
  <c r="R79" i="2"/>
  <c r="R84" i="2"/>
  <c r="R40" i="2"/>
  <c r="R45" i="2"/>
  <c r="R73" i="2"/>
  <c r="R47" i="2"/>
  <c r="R53" i="2"/>
  <c r="R80" i="2"/>
  <c r="R42" i="2"/>
  <c r="R75" i="2"/>
  <c r="R67" i="2"/>
  <c r="R35" i="2"/>
  <c r="R49" i="2"/>
  <c r="R83" i="2"/>
  <c r="R81" i="2"/>
  <c r="R57" i="2"/>
  <c r="R64" i="2"/>
  <c r="R30" i="2"/>
</calcChain>
</file>

<file path=xl/sharedStrings.xml><?xml version="1.0" encoding="utf-8"?>
<sst xmlns="http://schemas.openxmlformats.org/spreadsheetml/2006/main" count="91" uniqueCount="73">
  <si>
    <t>1. (1 point) The length of a queue during a 30 minute period is 3 for the first 5 minutes, 4 for the next 10 minutes, 2 for the next 6 minutes, and 3 for the last 9 minutes. What is the average queue length during this time?</t>
  </si>
  <si>
    <t>Time</t>
  </si>
  <si>
    <t>Queue</t>
  </si>
  <si>
    <t>Totals</t>
  </si>
  <si>
    <t>Queue*Time</t>
  </si>
  <si>
    <t xml:space="preserve">Average Queue Length = </t>
  </si>
  <si>
    <t>Page 7 Car Example</t>
  </si>
  <si>
    <t>Clock Time</t>
  </si>
  <si>
    <t>Car</t>
  </si>
  <si>
    <t>Interval Arrival Time</t>
  </si>
  <si>
    <t>Charging Time</t>
  </si>
  <si>
    <t>Charge Start</t>
  </si>
  <si>
    <t>Charge End</t>
  </si>
  <si>
    <t>Wait Time</t>
  </si>
  <si>
    <t>Charger Idle Time</t>
  </si>
  <si>
    <t>Queue Start</t>
  </si>
  <si>
    <t>Length End</t>
  </si>
  <si>
    <t>Car 1</t>
  </si>
  <si>
    <t>Car 2</t>
  </si>
  <si>
    <t>Car 3</t>
  </si>
  <si>
    <t>Car 4</t>
  </si>
  <si>
    <t>Car 5</t>
  </si>
  <si>
    <t>Car 6</t>
  </si>
  <si>
    <t>Car 7</t>
  </si>
  <si>
    <t>Car 8</t>
  </si>
  <si>
    <t>Busy</t>
  </si>
  <si>
    <t>Problem 1</t>
  </si>
  <si>
    <t>Problem 2</t>
  </si>
  <si>
    <t>2. (4 points) Compute this problem manually without the aid of a simulation tool. A Navy
helicopter mechanic starts his shift and services incoming helicopters at the following inter-
arrival times in hours:
[0, 1.4, 2.1, 1.9, 0.2, 1.5]
Thus the first pilot arrives at the very beginning of his shift. The respective helicopter service
times in hours are:
[2.2, 1.2, .3, 2.8, .2, 1.8]</t>
  </si>
  <si>
    <t>Calculate the minimum and maximum queue length for this period, the total queue time (total
time spent in queue for all pilots), the average waiting time in queue, the total idle time for
the mechanic, and the resource utilization for the mechanic. Show all your work.</t>
  </si>
  <si>
    <t>Min Queue</t>
  </si>
  <si>
    <t>Max Queue</t>
  </si>
  <si>
    <t>Queue Length</t>
  </si>
  <si>
    <t>Average Queue</t>
  </si>
  <si>
    <t>Mechanic Idle Time</t>
  </si>
  <si>
    <t>Mechanic Utilization</t>
  </si>
  <si>
    <t>Helicopter</t>
  </si>
  <si>
    <t>Arrival Interval</t>
  </si>
  <si>
    <t>Mainteance Start</t>
  </si>
  <si>
    <t>Maintenance End</t>
  </si>
  <si>
    <t>Maintenance Time</t>
  </si>
  <si>
    <t>Idle</t>
  </si>
  <si>
    <t>Mechanic Busy</t>
  </si>
  <si>
    <t>Mechanic Idle</t>
  </si>
  <si>
    <t>Queue Time</t>
  </si>
  <si>
    <t>Notes</t>
  </si>
  <si>
    <t>5 and 6 are both in queue when 6 arrives until 4 completes service at 8.2</t>
  </si>
  <si>
    <t>Total Queue Time</t>
  </si>
  <si>
    <t>Ship</t>
  </si>
  <si>
    <t>Interarrival Time</t>
  </si>
  <si>
    <t>Service Time</t>
  </si>
  <si>
    <t>Arrival Time</t>
  </si>
  <si>
    <t>Service Start</t>
  </si>
  <si>
    <t>Service End</t>
  </si>
  <si>
    <t>3. (5 points) Below is another depiction of the class example for the Navy cargo ship maintenance
facility scenario. This is for the single facility configuration and all time units are in days.
1) What is the average waiting time for the ships that need service?
2) Calculate the 20-day resource utilization of the single facility using fractional days. The
facility is open and staffed 24 hours each day available for service.</t>
  </si>
  <si>
    <t>Maintenance Dock Days</t>
  </si>
  <si>
    <t>Ship 5 in Queue</t>
  </si>
  <si>
    <t>Ship 3 in queue</t>
  </si>
  <si>
    <t>Ship 6 ONLY in Queue</t>
  </si>
  <si>
    <t>Ship 8 ONLY in queue</t>
  </si>
  <si>
    <t>Ship 8 and 9 in queue</t>
  </si>
  <si>
    <t>Ship 9 ONLY in queue</t>
  </si>
  <si>
    <t>Ship 19 in queue</t>
  </si>
  <si>
    <t>Total</t>
  </si>
  <si>
    <t>Divide by total number of helicopters</t>
  </si>
  <si>
    <r>
      <t xml:space="preserve">Average waiting time for ships </t>
    </r>
    <r>
      <rPr>
        <b/>
        <sz val="12"/>
        <color theme="1"/>
        <rFont val="Aptos Narrow"/>
        <scheme val="minor"/>
      </rPr>
      <t>needing</t>
    </r>
    <r>
      <rPr>
        <sz val="12"/>
        <color theme="1"/>
        <rFont val="Aptos Narrow"/>
        <family val="2"/>
        <scheme val="minor"/>
      </rPr>
      <t xml:space="preserve"> service</t>
    </r>
  </si>
  <si>
    <t>20-day resource utilization of the single facility using fractional days</t>
  </si>
  <si>
    <t>Problem 3</t>
  </si>
  <si>
    <t>Problem 4</t>
  </si>
  <si>
    <t>4. (1 point) In Problem 3, how might the resource utilization change for the first facility when a
second facility is added? In this case ships will be serviced by the second facility when the first
is busy. Assume the same inputs for ship arrivals and service durations.
A. it will be the same
B. it will increase
C. it will decrease
D. it cannot be determined</t>
  </si>
  <si>
    <t>C. It will decrease.</t>
  </si>
  <si>
    <t>Any time a ship would normally wait it will be assigned to the second facility resulting in less usage of the first facility thus reducing utilization.  Specific example:  Ship 3 comes in on day 2 and will be placed onto second facility resulting in first facility not being used for 2 days, reducing utilization of the first facility.</t>
  </si>
  <si>
    <t>Waiting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</si>
</sst>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2"/>
      <color theme="1"/>
      <name val="Aptos Narrow"/>
      <family val="2"/>
      <scheme val="minor"/>
    </font>
    <font>
      <sz val="18"/>
      <color theme="1"/>
      <name val="Aptos Narrow"/>
      <family val="2"/>
      <scheme val="minor"/>
    </font>
    <font>
      <b/>
      <sz val="12"/>
      <color theme="1"/>
      <name val="Aptos Narrow"/>
      <scheme val="minor"/>
    </font>
    <font>
      <sz val="8"/>
      <name val="Aptos Narrow"/>
      <family val="2"/>
      <scheme val="minor"/>
    </font>
    <font>
      <sz val="12"/>
      <color rgb="FF000000"/>
      <name val="Aptos Narrow"/>
      <family val="2"/>
      <scheme val="minor"/>
    </font>
    <font>
      <b/>
      <sz val="20"/>
      <color theme="1"/>
      <name val="Aptos Narrow"/>
      <scheme val="minor"/>
    </font>
  </fonts>
  <fills count="5">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20">
    <xf numFmtId="0" fontId="0" fillId="0" borderId="0" xfId="0"/>
    <xf numFmtId="0" fontId="2" fillId="2" borderId="0" xfId="0" applyFont="1" applyFill="1"/>
    <xf numFmtId="0" fontId="0" fillId="0" borderId="0" xfId="0" applyAlignment="1">
      <alignment horizontal="center" vertical="center"/>
    </xf>
    <xf numFmtId="0" fontId="0" fillId="0" borderId="0" xfId="0" applyAlignment="1">
      <alignment horizontal="center" vertical="center" wrapText="1"/>
    </xf>
    <xf numFmtId="0" fontId="0" fillId="3" borderId="0" xfId="0" applyFill="1"/>
    <xf numFmtId="0" fontId="4" fillId="0" borderId="0" xfId="0" applyFont="1"/>
    <xf numFmtId="2" fontId="0" fillId="0" borderId="0" xfId="0" applyNumberFormat="1"/>
    <xf numFmtId="0" fontId="0" fillId="4" borderId="0" xfId="0" applyFill="1"/>
    <xf numFmtId="2" fontId="2" fillId="2" borderId="0" xfId="0" applyNumberFormat="1" applyFont="1" applyFill="1"/>
    <xf numFmtId="164" fontId="2" fillId="2" borderId="0" xfId="0" applyNumberFormat="1" applyFont="1" applyFill="1"/>
    <xf numFmtId="0" fontId="0" fillId="2" borderId="0" xfId="0" applyFill="1" applyAlignment="1">
      <alignment horizontal="center" vertical="center" wrapText="1"/>
    </xf>
    <xf numFmtId="0" fontId="0" fillId="2" borderId="0" xfId="0" applyFill="1"/>
    <xf numFmtId="0" fontId="0" fillId="2" borderId="0" xfId="0" applyFill="1" applyAlignment="1">
      <alignment wrapText="1"/>
    </xf>
    <xf numFmtId="0" fontId="5" fillId="0" borderId="0" xfId="0" applyFont="1" applyAlignment="1">
      <alignment horizontal="center"/>
    </xf>
    <xf numFmtId="0" fontId="0" fillId="0" borderId="0" xfId="0" applyAlignment="1">
      <alignment horizontal="left" vertical="center" wrapText="1"/>
    </xf>
    <xf numFmtId="0" fontId="0" fillId="0" borderId="0" xfId="0" applyAlignment="1">
      <alignment horizontal="left" vertical="center"/>
    </xf>
    <xf numFmtId="0" fontId="2" fillId="2" borderId="0" xfId="0" applyFont="1" applyFill="1" applyAlignment="1">
      <alignment horizontal="center" wrapText="1"/>
    </xf>
    <xf numFmtId="0" fontId="1" fillId="0" borderId="0" xfId="0" applyFont="1" applyAlignment="1">
      <alignment horizontal="left" vertical="center" wrapText="1"/>
    </xf>
    <xf numFmtId="0" fontId="1" fillId="0" borderId="0" xfId="0" applyFont="1" applyAlignment="1">
      <alignment horizontal="left" vertic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yVal>
            <c:numRef>
              <c:f>Verify_From_Class_notes!$Q$27:$Q$87</c:f>
              <c:numCache>
                <c:formatCode>General</c:formatCode>
                <c:ptCount val="61"/>
                <c:pt idx="0">
                  <c:v>0</c:v>
                </c:pt>
                <c:pt idx="1">
                  <c:v>0</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0</c:v>
                </c:pt>
                <c:pt idx="48">
                  <c:v>1</c:v>
                </c:pt>
                <c:pt idx="49">
                  <c:v>1</c:v>
                </c:pt>
                <c:pt idx="50">
                  <c:v>1</c:v>
                </c:pt>
                <c:pt idx="51">
                  <c:v>1</c:v>
                </c:pt>
                <c:pt idx="52">
                  <c:v>1</c:v>
                </c:pt>
                <c:pt idx="53">
                  <c:v>1</c:v>
                </c:pt>
                <c:pt idx="54">
                  <c:v>1</c:v>
                </c:pt>
                <c:pt idx="55">
                  <c:v>1</c:v>
                </c:pt>
                <c:pt idx="56">
                  <c:v>1</c:v>
                </c:pt>
                <c:pt idx="57">
                  <c:v>1</c:v>
                </c:pt>
                <c:pt idx="58">
                  <c:v>1</c:v>
                </c:pt>
                <c:pt idx="59">
                  <c:v>1</c:v>
                </c:pt>
                <c:pt idx="60">
                  <c:v>1</c:v>
                </c:pt>
              </c:numCache>
            </c:numRef>
          </c:yVal>
          <c:smooth val="0"/>
          <c:extLst>
            <c:ext xmlns:c16="http://schemas.microsoft.com/office/drawing/2014/chart" uri="{C3380CC4-5D6E-409C-BE32-E72D297353CC}">
              <c16:uniqueId val="{00000000-8995-AD40-B86B-4323E73A04AC}"/>
            </c:ext>
          </c:extLst>
        </c:ser>
        <c:dLbls>
          <c:showLegendKey val="0"/>
          <c:showVal val="0"/>
          <c:showCatName val="0"/>
          <c:showSerName val="0"/>
          <c:showPercent val="0"/>
          <c:showBubbleSize val="0"/>
        </c:dLbls>
        <c:axId val="902397856"/>
        <c:axId val="902316832"/>
      </c:scatterChart>
      <c:valAx>
        <c:axId val="902397856"/>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316832"/>
        <c:crosses val="autoZero"/>
        <c:crossBetween val="midCat"/>
      </c:valAx>
      <c:valAx>
        <c:axId val="90231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397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279400</xdr:colOff>
      <xdr:row>31</xdr:row>
      <xdr:rowOff>146050</xdr:rowOff>
    </xdr:from>
    <xdr:to>
      <xdr:col>35</xdr:col>
      <xdr:colOff>596900</xdr:colOff>
      <xdr:row>66</xdr:row>
      <xdr:rowOff>165100</xdr:rowOff>
    </xdr:to>
    <xdr:graphicFrame macro="">
      <xdr:nvGraphicFramePr>
        <xdr:cNvPr id="2" name="Chart 1">
          <a:extLst>
            <a:ext uri="{FF2B5EF4-FFF2-40B4-BE49-F238E27FC236}">
              <a16:creationId xmlns:a16="http://schemas.microsoft.com/office/drawing/2014/main" id="{185A7F80-CF97-3688-15EA-199053C8F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5B21C-3E81-4F4A-B420-E354ACCA9122}">
  <dimension ref="A1:K95"/>
  <sheetViews>
    <sheetView tabSelected="1" zoomScale="139" zoomScaleNormal="140" workbookViewId="0">
      <selection sqref="A1:G1"/>
    </sheetView>
  </sheetViews>
  <sheetFormatPr baseColWidth="10" defaultRowHeight="16" x14ac:dyDescent="0.2"/>
  <cols>
    <col min="1" max="1" width="18" bestFit="1" customWidth="1"/>
    <col min="3" max="3" width="11.5" customWidth="1"/>
    <col min="6" max="6" width="11.5" customWidth="1"/>
    <col min="7" max="7" width="12" customWidth="1"/>
    <col min="11" max="11" width="24.1640625" customWidth="1"/>
  </cols>
  <sheetData>
    <row r="1" spans="1:8" ht="27" x14ac:dyDescent="0.35">
      <c r="A1" s="13" t="s">
        <v>26</v>
      </c>
      <c r="B1" s="13"/>
      <c r="C1" s="13"/>
      <c r="D1" s="13"/>
      <c r="E1" s="13"/>
      <c r="F1" s="13"/>
      <c r="G1" s="13"/>
    </row>
    <row r="2" spans="1:8" x14ac:dyDescent="0.2">
      <c r="A2" s="17" t="s">
        <v>0</v>
      </c>
      <c r="B2" s="18"/>
      <c r="C2" s="18"/>
      <c r="D2" s="18"/>
      <c r="E2" s="18"/>
      <c r="F2" s="18"/>
      <c r="G2" s="18"/>
      <c r="H2" s="18"/>
    </row>
    <row r="3" spans="1:8" x14ac:dyDescent="0.2">
      <c r="A3" s="18"/>
      <c r="B3" s="18"/>
      <c r="C3" s="18"/>
      <c r="D3" s="18"/>
      <c r="E3" s="18"/>
      <c r="F3" s="18"/>
      <c r="G3" s="18"/>
      <c r="H3" s="18"/>
    </row>
    <row r="4" spans="1:8" x14ac:dyDescent="0.2">
      <c r="A4" s="18"/>
      <c r="B4" s="18"/>
      <c r="C4" s="18"/>
      <c r="D4" s="18"/>
      <c r="E4" s="18"/>
      <c r="F4" s="18"/>
      <c r="G4" s="18"/>
      <c r="H4" s="18"/>
    </row>
    <row r="5" spans="1:8" x14ac:dyDescent="0.2">
      <c r="A5" s="18"/>
      <c r="B5" s="18"/>
      <c r="C5" s="18"/>
      <c r="D5" s="18"/>
      <c r="E5" s="18"/>
      <c r="F5" s="18"/>
      <c r="G5" s="18"/>
      <c r="H5" s="18"/>
    </row>
    <row r="6" spans="1:8" x14ac:dyDescent="0.2">
      <c r="A6" s="18"/>
      <c r="B6" s="18"/>
      <c r="C6" s="18"/>
      <c r="D6" s="18"/>
      <c r="E6" s="18"/>
      <c r="F6" s="18"/>
      <c r="G6" s="18"/>
      <c r="H6" s="18"/>
    </row>
    <row r="7" spans="1:8" x14ac:dyDescent="0.2">
      <c r="B7" t="s">
        <v>2</v>
      </c>
      <c r="C7" t="s">
        <v>1</v>
      </c>
      <c r="D7" t="s">
        <v>4</v>
      </c>
    </row>
    <row r="8" spans="1:8" x14ac:dyDescent="0.2">
      <c r="B8">
        <v>3</v>
      </c>
      <c r="C8">
        <v>5</v>
      </c>
      <c r="D8">
        <f>B8*C8</f>
        <v>15</v>
      </c>
    </row>
    <row r="9" spans="1:8" x14ac:dyDescent="0.2">
      <c r="B9">
        <v>4</v>
      </c>
      <c r="C9">
        <v>10</v>
      </c>
      <c r="D9">
        <f t="shared" ref="D9:D11" si="0">B9*C9</f>
        <v>40</v>
      </c>
    </row>
    <row r="10" spans="1:8" x14ac:dyDescent="0.2">
      <c r="B10">
        <v>2</v>
      </c>
      <c r="C10">
        <v>6</v>
      </c>
      <c r="D10">
        <f t="shared" si="0"/>
        <v>12</v>
      </c>
    </row>
    <row r="11" spans="1:8" x14ac:dyDescent="0.2">
      <c r="B11">
        <v>3</v>
      </c>
      <c r="C11">
        <v>9</v>
      </c>
      <c r="D11">
        <f t="shared" si="0"/>
        <v>27</v>
      </c>
    </row>
    <row r="12" spans="1:8" x14ac:dyDescent="0.2">
      <c r="A12" t="s">
        <v>3</v>
      </c>
      <c r="B12">
        <f>SUM(B8:B11)</f>
        <v>12</v>
      </c>
      <c r="C12">
        <f>SUM(C8:C11)</f>
        <v>30</v>
      </c>
      <c r="D12">
        <f>SUM(D8:D11)</f>
        <v>94</v>
      </c>
    </row>
    <row r="13" spans="1:8" x14ac:dyDescent="0.2">
      <c r="A13" s="19" t="s">
        <v>5</v>
      </c>
      <c r="B13" s="19"/>
      <c r="C13" s="9">
        <f>D12/C12</f>
        <v>3.1333333333333333</v>
      </c>
      <c r="D13" s="19" t="str">
        <f ca="1">_xlfn.FORMULATEXT(C13)</f>
        <v>=D12/C12</v>
      </c>
      <c r="E13" s="19"/>
    </row>
    <row r="14" spans="1:8" x14ac:dyDescent="0.2">
      <c r="A14" s="7"/>
      <c r="B14" s="7"/>
      <c r="C14" s="7"/>
      <c r="D14" s="7"/>
      <c r="E14" s="7"/>
      <c r="F14" s="7"/>
      <c r="G14" s="7"/>
    </row>
    <row r="15" spans="1:8" ht="27" x14ac:dyDescent="0.35">
      <c r="A15" s="13" t="s">
        <v>27</v>
      </c>
      <c r="B15" s="13"/>
      <c r="C15" s="13"/>
      <c r="D15" s="13"/>
      <c r="E15" s="13"/>
      <c r="F15" s="13"/>
      <c r="G15" s="13"/>
    </row>
    <row r="16" spans="1:8" ht="16" customHeight="1" x14ac:dyDescent="0.2">
      <c r="A16" s="14" t="s">
        <v>28</v>
      </c>
      <c r="B16" s="14"/>
      <c r="C16" s="14"/>
      <c r="D16" s="14"/>
      <c r="E16" s="14"/>
      <c r="F16" s="14"/>
      <c r="G16" s="14"/>
      <c r="H16" s="14"/>
    </row>
    <row r="17" spans="1:8" x14ac:dyDescent="0.2">
      <c r="A17" s="14"/>
      <c r="B17" s="14"/>
      <c r="C17" s="14"/>
      <c r="D17" s="14"/>
      <c r="E17" s="14"/>
      <c r="F17" s="14"/>
      <c r="G17" s="14"/>
      <c r="H17" s="14"/>
    </row>
    <row r="18" spans="1:8" x14ac:dyDescent="0.2">
      <c r="A18" s="14"/>
      <c r="B18" s="14"/>
      <c r="C18" s="14"/>
      <c r="D18" s="14"/>
      <c r="E18" s="14"/>
      <c r="F18" s="14"/>
      <c r="G18" s="14"/>
      <c r="H18" s="14"/>
    </row>
    <row r="19" spans="1:8" x14ac:dyDescent="0.2">
      <c r="A19" s="14"/>
      <c r="B19" s="14"/>
      <c r="C19" s="14"/>
      <c r="D19" s="14"/>
      <c r="E19" s="14"/>
      <c r="F19" s="14"/>
      <c r="G19" s="14"/>
      <c r="H19" s="14"/>
    </row>
    <row r="20" spans="1:8" x14ac:dyDescent="0.2">
      <c r="A20" s="14"/>
      <c r="B20" s="14"/>
      <c r="C20" s="14"/>
      <c r="D20" s="14"/>
      <c r="E20" s="14"/>
      <c r="F20" s="14"/>
      <c r="G20" s="14"/>
      <c r="H20" s="14"/>
    </row>
    <row r="21" spans="1:8" x14ac:dyDescent="0.2">
      <c r="A21" s="14"/>
      <c r="B21" s="14"/>
      <c r="C21" s="14"/>
      <c r="D21" s="14"/>
      <c r="E21" s="14"/>
      <c r="F21" s="14"/>
      <c r="G21" s="14"/>
      <c r="H21" s="14"/>
    </row>
    <row r="22" spans="1:8" x14ac:dyDescent="0.2">
      <c r="A22" s="14"/>
      <c r="B22" s="14"/>
      <c r="C22" s="14"/>
      <c r="D22" s="14"/>
      <c r="E22" s="14"/>
      <c r="F22" s="14"/>
      <c r="G22" s="14"/>
      <c r="H22" s="14"/>
    </row>
    <row r="23" spans="1:8" x14ac:dyDescent="0.2">
      <c r="A23" s="14"/>
      <c r="B23" s="14"/>
      <c r="C23" s="14"/>
      <c r="D23" s="14"/>
      <c r="E23" s="14"/>
      <c r="F23" s="14"/>
      <c r="G23" s="14"/>
      <c r="H23" s="14"/>
    </row>
    <row r="25" spans="1:8" x14ac:dyDescent="0.2">
      <c r="A25" s="14" t="s">
        <v>29</v>
      </c>
      <c r="B25" s="15"/>
      <c r="C25" s="15"/>
      <c r="D25" s="15"/>
      <c r="E25" s="15"/>
      <c r="F25" s="15"/>
      <c r="G25" s="15"/>
      <c r="H25" s="15"/>
    </row>
    <row r="26" spans="1:8" x14ac:dyDescent="0.2">
      <c r="A26" s="15"/>
      <c r="B26" s="15"/>
      <c r="C26" s="15"/>
      <c r="D26" s="15"/>
      <c r="E26" s="15"/>
      <c r="F26" s="15"/>
      <c r="G26" s="15"/>
      <c r="H26" s="15"/>
    </row>
    <row r="27" spans="1:8" x14ac:dyDescent="0.2">
      <c r="A27" s="15"/>
      <c r="B27" s="15"/>
      <c r="C27" s="15"/>
      <c r="D27" s="15"/>
      <c r="E27" s="15"/>
      <c r="F27" s="15"/>
      <c r="G27" s="15"/>
      <c r="H27" s="15"/>
    </row>
    <row r="28" spans="1:8" x14ac:dyDescent="0.2">
      <c r="A28" s="1" t="s">
        <v>30</v>
      </c>
      <c r="B28" s="1">
        <f>MIN(I36:I44)</f>
        <v>0</v>
      </c>
    </row>
    <row r="29" spans="1:8" x14ac:dyDescent="0.2">
      <c r="A29" s="1" t="s">
        <v>31</v>
      </c>
      <c r="B29" s="1">
        <f>MAX(I36:I44)</f>
        <v>2</v>
      </c>
    </row>
    <row r="30" spans="1:8" x14ac:dyDescent="0.2">
      <c r="A30" s="1" t="s">
        <v>47</v>
      </c>
      <c r="B30" s="1">
        <f>SUM(J37:J44)</f>
        <v>6.8999999999999941</v>
      </c>
    </row>
    <row r="31" spans="1:8" x14ac:dyDescent="0.2">
      <c r="A31" s="1" t="s">
        <v>33</v>
      </c>
      <c r="B31" s="1">
        <f>J45/6</f>
        <v>1.149999999999999</v>
      </c>
      <c r="C31" t="s">
        <v>64</v>
      </c>
    </row>
    <row r="32" spans="1:8" x14ac:dyDescent="0.2">
      <c r="A32" s="1" t="s">
        <v>34</v>
      </c>
      <c r="B32" s="1">
        <f>H45</f>
        <v>1.7000000000000006</v>
      </c>
    </row>
    <row r="33" spans="1:11" x14ac:dyDescent="0.2">
      <c r="A33" s="1" t="s">
        <v>35</v>
      </c>
      <c r="B33" s="8">
        <f>G45/F44</f>
        <v>0.83333333333333337</v>
      </c>
    </row>
    <row r="35" spans="1:11" ht="34" x14ac:dyDescent="0.2">
      <c r="A35" s="3" t="s">
        <v>36</v>
      </c>
      <c r="B35" s="3" t="s">
        <v>37</v>
      </c>
      <c r="C35" s="3" t="s">
        <v>40</v>
      </c>
      <c r="D35" s="3" t="s">
        <v>7</v>
      </c>
      <c r="E35" s="3" t="s">
        <v>38</v>
      </c>
      <c r="F35" s="3" t="s">
        <v>39</v>
      </c>
      <c r="G35" s="3" t="s">
        <v>42</v>
      </c>
      <c r="H35" s="3" t="s">
        <v>43</v>
      </c>
      <c r="I35" s="3" t="s">
        <v>32</v>
      </c>
      <c r="J35" s="3" t="s">
        <v>44</v>
      </c>
      <c r="K35" s="3" t="s">
        <v>45</v>
      </c>
    </row>
    <row r="36" spans="1:11" x14ac:dyDescent="0.2">
      <c r="A36">
        <v>1</v>
      </c>
      <c r="B36">
        <v>0</v>
      </c>
      <c r="C36">
        <v>2.2000000000000002</v>
      </c>
      <c r="D36">
        <f>B36</f>
        <v>0</v>
      </c>
      <c r="E36">
        <f>B36</f>
        <v>0</v>
      </c>
      <c r="F36">
        <f>E36+C36</f>
        <v>2.2000000000000002</v>
      </c>
      <c r="G36">
        <f>F36-E36</f>
        <v>2.2000000000000002</v>
      </c>
      <c r="I36">
        <v>0</v>
      </c>
    </row>
    <row r="37" spans="1:11" x14ac:dyDescent="0.2">
      <c r="A37">
        <v>2</v>
      </c>
      <c r="B37">
        <v>1.4</v>
      </c>
      <c r="C37">
        <v>1.2</v>
      </c>
      <c r="D37">
        <f>D36+B37</f>
        <v>1.4</v>
      </c>
      <c r="E37">
        <f>F36</f>
        <v>2.2000000000000002</v>
      </c>
      <c r="F37">
        <f>E37+C37</f>
        <v>3.4000000000000004</v>
      </c>
      <c r="G37">
        <f t="shared" ref="G37:G42" si="1">F37-E37</f>
        <v>1.2000000000000002</v>
      </c>
      <c r="I37">
        <v>1</v>
      </c>
      <c r="J37">
        <f>E37-D37</f>
        <v>0.80000000000000027</v>
      </c>
    </row>
    <row r="38" spans="1:11" x14ac:dyDescent="0.2">
      <c r="A38" t="s">
        <v>41</v>
      </c>
      <c r="E38">
        <v>3.4</v>
      </c>
      <c r="F38">
        <v>3.5</v>
      </c>
      <c r="H38">
        <f>F38-E38</f>
        <v>0.10000000000000009</v>
      </c>
    </row>
    <row r="39" spans="1:11" x14ac:dyDescent="0.2">
      <c r="A39">
        <v>3</v>
      </c>
      <c r="B39">
        <v>2.1</v>
      </c>
      <c r="C39">
        <v>0.3</v>
      </c>
      <c r="D39">
        <f>D37+B39</f>
        <v>3.5</v>
      </c>
      <c r="E39">
        <v>3.5</v>
      </c>
      <c r="F39">
        <f t="shared" ref="F39" si="2">E39+C39</f>
        <v>3.8</v>
      </c>
      <c r="G39">
        <f t="shared" si="1"/>
        <v>0.29999999999999982</v>
      </c>
      <c r="I39">
        <v>0</v>
      </c>
      <c r="J39">
        <f t="shared" ref="J39:J41" si="3">E39-D39</f>
        <v>0</v>
      </c>
    </row>
    <row r="40" spans="1:11" x14ac:dyDescent="0.2">
      <c r="A40" t="s">
        <v>41</v>
      </c>
      <c r="E40">
        <v>3.8</v>
      </c>
      <c r="F40">
        <v>5.4</v>
      </c>
      <c r="H40">
        <f>F40-E40</f>
        <v>1.6000000000000005</v>
      </c>
    </row>
    <row r="41" spans="1:11" x14ac:dyDescent="0.2">
      <c r="A41">
        <v>4</v>
      </c>
      <c r="B41">
        <v>1.9</v>
      </c>
      <c r="C41">
        <v>2.8</v>
      </c>
      <c r="D41">
        <f>D39+B41</f>
        <v>5.4</v>
      </c>
      <c r="E41">
        <v>5.4</v>
      </c>
      <c r="F41">
        <f>E41+C41</f>
        <v>8.1999999999999993</v>
      </c>
      <c r="G41">
        <f t="shared" si="1"/>
        <v>2.7999999999999989</v>
      </c>
      <c r="I41">
        <v>0</v>
      </c>
      <c r="J41">
        <f t="shared" si="3"/>
        <v>0</v>
      </c>
    </row>
    <row r="42" spans="1:11" x14ac:dyDescent="0.2">
      <c r="A42">
        <v>5</v>
      </c>
      <c r="B42">
        <v>0.2</v>
      </c>
      <c r="C42">
        <v>0.2</v>
      </c>
      <c r="D42">
        <f>D41+B42</f>
        <v>5.6000000000000005</v>
      </c>
      <c r="E42">
        <f>F41</f>
        <v>8.1999999999999993</v>
      </c>
      <c r="F42">
        <f>E42+C42</f>
        <v>8.3999999999999986</v>
      </c>
      <c r="G42">
        <f t="shared" si="1"/>
        <v>0.19999999999999929</v>
      </c>
      <c r="I42">
        <v>1</v>
      </c>
      <c r="J42">
        <f>E42-D42</f>
        <v>2.5999999999999988</v>
      </c>
    </row>
    <row r="43" spans="1:11" x14ac:dyDescent="0.2">
      <c r="I43">
        <v>2</v>
      </c>
      <c r="J43">
        <f>I43*(E42-D44)</f>
        <v>2.1999999999999975</v>
      </c>
      <c r="K43" t="s">
        <v>46</v>
      </c>
    </row>
    <row r="44" spans="1:11" x14ac:dyDescent="0.2">
      <c r="A44">
        <v>6</v>
      </c>
      <c r="B44">
        <v>1.5</v>
      </c>
      <c r="C44">
        <v>1.8</v>
      </c>
      <c r="D44">
        <f>D42+B44</f>
        <v>7.1000000000000005</v>
      </c>
      <c r="E44">
        <f>F42</f>
        <v>8.3999999999999986</v>
      </c>
      <c r="F44">
        <f>E44+C44</f>
        <v>10.199999999999999</v>
      </c>
      <c r="G44">
        <f>F44-E44</f>
        <v>1.8000000000000007</v>
      </c>
      <c r="I44">
        <v>1</v>
      </c>
      <c r="J44">
        <f>E44-D44</f>
        <v>1.299999999999998</v>
      </c>
    </row>
    <row r="45" spans="1:11" x14ac:dyDescent="0.2">
      <c r="A45" t="s">
        <v>3</v>
      </c>
      <c r="G45">
        <f>SUM(G36:G44)</f>
        <v>8.5</v>
      </c>
      <c r="H45">
        <f>SUM(H36:H44)</f>
        <v>1.7000000000000006</v>
      </c>
      <c r="I45">
        <f>SUM(I36:I44)</f>
        <v>5</v>
      </c>
      <c r="J45">
        <f>SUM(J36:J44)</f>
        <v>6.8999999999999941</v>
      </c>
    </row>
    <row r="47" spans="1:11" x14ac:dyDescent="0.2">
      <c r="A47" s="7"/>
      <c r="B47" s="7"/>
      <c r="C47" s="7"/>
      <c r="D47" s="7"/>
      <c r="E47" s="7"/>
      <c r="F47" s="7"/>
      <c r="G47" s="7"/>
      <c r="H47" s="7"/>
      <c r="I47" s="7"/>
      <c r="J47" s="7"/>
    </row>
    <row r="48" spans="1:11" ht="27" x14ac:dyDescent="0.35">
      <c r="A48" s="13" t="s">
        <v>67</v>
      </c>
      <c r="B48" s="13"/>
      <c r="C48" s="13"/>
      <c r="D48" s="13"/>
      <c r="E48" s="13"/>
      <c r="F48" s="13"/>
      <c r="G48" s="13"/>
    </row>
    <row r="49" spans="1:11" x14ac:dyDescent="0.2">
      <c r="A49" s="14" t="s">
        <v>54</v>
      </c>
      <c r="B49" s="15"/>
      <c r="C49" s="15"/>
      <c r="D49" s="15"/>
      <c r="E49" s="15"/>
      <c r="F49" s="15"/>
      <c r="G49" s="15"/>
      <c r="H49" s="15"/>
    </row>
    <row r="50" spans="1:11" x14ac:dyDescent="0.2">
      <c r="A50" s="15"/>
      <c r="B50" s="15"/>
      <c r="C50" s="15"/>
      <c r="D50" s="15"/>
      <c r="E50" s="15"/>
      <c r="F50" s="15"/>
      <c r="G50" s="15"/>
      <c r="H50" s="15"/>
    </row>
    <row r="51" spans="1:11" x14ac:dyDescent="0.2">
      <c r="A51" s="15"/>
      <c r="B51" s="15"/>
      <c r="C51" s="15"/>
      <c r="D51" s="15"/>
      <c r="E51" s="15"/>
      <c r="F51" s="15"/>
      <c r="G51" s="15"/>
      <c r="H51" s="15"/>
    </row>
    <row r="52" spans="1:11" x14ac:dyDescent="0.2">
      <c r="A52" s="15"/>
      <c r="B52" s="15"/>
      <c r="C52" s="15"/>
      <c r="D52" s="15"/>
      <c r="E52" s="15"/>
      <c r="F52" s="15"/>
      <c r="G52" s="15"/>
      <c r="H52" s="15"/>
    </row>
    <row r="53" spans="1:11" x14ac:dyDescent="0.2">
      <c r="A53" s="15"/>
      <c r="B53" s="15"/>
      <c r="C53" s="15"/>
      <c r="D53" s="15"/>
      <c r="E53" s="15"/>
      <c r="F53" s="15"/>
      <c r="G53" s="15"/>
      <c r="H53" s="15"/>
    </row>
    <row r="54" spans="1:11" x14ac:dyDescent="0.2">
      <c r="A54" s="15"/>
      <c r="B54" s="15"/>
      <c r="C54" s="15"/>
      <c r="D54" s="15"/>
      <c r="E54" s="15"/>
      <c r="F54" s="15"/>
      <c r="G54" s="15"/>
      <c r="H54" s="15"/>
    </row>
    <row r="55" spans="1:11" x14ac:dyDescent="0.2">
      <c r="A55" s="15"/>
      <c r="B55" s="15"/>
      <c r="C55" s="15"/>
      <c r="D55" s="15"/>
      <c r="E55" s="15"/>
      <c r="F55" s="15"/>
      <c r="G55" s="15"/>
      <c r="H55" s="15"/>
    </row>
    <row r="56" spans="1:11" x14ac:dyDescent="0.2">
      <c r="A56" s="15"/>
      <c r="B56" s="15"/>
      <c r="C56" s="15"/>
      <c r="D56" s="15"/>
      <c r="E56" s="15"/>
      <c r="F56" s="15"/>
      <c r="G56" s="15"/>
      <c r="H56" s="15"/>
    </row>
    <row r="57" spans="1:11" ht="51" x14ac:dyDescent="0.2">
      <c r="A57" s="10" t="s">
        <v>65</v>
      </c>
      <c r="B57" s="11">
        <f>J82/10</f>
        <v>0.9</v>
      </c>
    </row>
    <row r="58" spans="1:11" ht="68" x14ac:dyDescent="0.2">
      <c r="A58" s="12" t="s">
        <v>66</v>
      </c>
      <c r="B58" s="11">
        <f>G82/20</f>
        <v>0.95</v>
      </c>
    </row>
    <row r="61" spans="1:11" ht="34" x14ac:dyDescent="0.2">
      <c r="A61" s="3" t="s">
        <v>48</v>
      </c>
      <c r="B61" s="3" t="s">
        <v>49</v>
      </c>
      <c r="C61" s="3" t="s">
        <v>50</v>
      </c>
      <c r="D61" s="3" t="s">
        <v>51</v>
      </c>
      <c r="E61" s="3" t="s">
        <v>52</v>
      </c>
      <c r="F61" s="3" t="s">
        <v>53</v>
      </c>
      <c r="G61" s="3" t="s">
        <v>55</v>
      </c>
      <c r="I61" s="3" t="s">
        <v>32</v>
      </c>
      <c r="J61" s="3" t="s">
        <v>72</v>
      </c>
      <c r="K61" s="3" t="s">
        <v>45</v>
      </c>
    </row>
    <row r="62" spans="1:11" x14ac:dyDescent="0.2">
      <c r="A62" s="3">
        <v>1</v>
      </c>
      <c r="B62" s="3">
        <v>0</v>
      </c>
      <c r="C62" s="3">
        <v>2.5</v>
      </c>
      <c r="D62" s="3">
        <v>0</v>
      </c>
      <c r="E62" s="3">
        <v>0</v>
      </c>
      <c r="F62" s="3">
        <v>2.5</v>
      </c>
      <c r="G62" s="2">
        <f>F62</f>
        <v>2.5</v>
      </c>
      <c r="I62" s="2">
        <v>0</v>
      </c>
    </row>
    <row r="63" spans="1:11" x14ac:dyDescent="0.2">
      <c r="A63" s="3">
        <v>2</v>
      </c>
      <c r="B63" s="3">
        <v>1</v>
      </c>
      <c r="D63" s="3">
        <v>1</v>
      </c>
      <c r="E63" s="3"/>
      <c r="F63" s="3"/>
      <c r="G63" s="2"/>
      <c r="I63" s="2">
        <v>0</v>
      </c>
    </row>
    <row r="64" spans="1:11" x14ac:dyDescent="0.2">
      <c r="A64" s="3">
        <v>3</v>
      </c>
      <c r="B64" s="3">
        <v>1</v>
      </c>
      <c r="C64" s="3">
        <v>2</v>
      </c>
      <c r="D64" s="3">
        <v>2</v>
      </c>
      <c r="E64" s="3">
        <v>2.5</v>
      </c>
      <c r="F64" s="3">
        <v>4.5</v>
      </c>
      <c r="G64" s="2">
        <f>F64-E64</f>
        <v>2</v>
      </c>
      <c r="I64" s="2">
        <v>1</v>
      </c>
      <c r="J64">
        <f>E64-D64</f>
        <v>0.5</v>
      </c>
      <c r="K64" t="s">
        <v>57</v>
      </c>
    </row>
    <row r="65" spans="1:11" x14ac:dyDescent="0.2">
      <c r="A65" s="3">
        <v>4</v>
      </c>
      <c r="B65" s="3">
        <v>1</v>
      </c>
      <c r="D65" s="3">
        <v>3</v>
      </c>
      <c r="E65" s="3"/>
      <c r="F65" s="3"/>
      <c r="G65" s="2"/>
      <c r="I65" s="2"/>
    </row>
    <row r="66" spans="1:11" x14ac:dyDescent="0.2">
      <c r="A66" s="3">
        <v>5</v>
      </c>
      <c r="B66" s="3">
        <v>1</v>
      </c>
      <c r="C66" s="3">
        <v>3</v>
      </c>
      <c r="D66" s="3">
        <v>4</v>
      </c>
      <c r="E66" s="3">
        <v>4.5</v>
      </c>
      <c r="F66" s="3">
        <v>7.5</v>
      </c>
      <c r="G66" s="2">
        <f>F66-E66</f>
        <v>3</v>
      </c>
      <c r="I66" s="2">
        <v>1</v>
      </c>
      <c r="J66">
        <f>E66-D66</f>
        <v>0.5</v>
      </c>
      <c r="K66" t="s">
        <v>56</v>
      </c>
    </row>
    <row r="67" spans="1:11" x14ac:dyDescent="0.2">
      <c r="A67" s="3">
        <v>6</v>
      </c>
      <c r="B67" s="3">
        <v>1</v>
      </c>
      <c r="C67" s="3">
        <v>1.5</v>
      </c>
      <c r="D67" s="3">
        <v>5</v>
      </c>
      <c r="E67" s="3">
        <v>7.5</v>
      </c>
      <c r="F67" s="3">
        <v>9</v>
      </c>
      <c r="G67" s="2">
        <f>F67-E67</f>
        <v>1.5</v>
      </c>
      <c r="I67" s="2">
        <v>1</v>
      </c>
      <c r="J67">
        <f>E67-D67</f>
        <v>2.5</v>
      </c>
      <c r="K67" t="s">
        <v>58</v>
      </c>
    </row>
    <row r="68" spans="1:11" x14ac:dyDescent="0.2">
      <c r="A68" s="3">
        <v>7</v>
      </c>
      <c r="B68" s="3">
        <v>1</v>
      </c>
      <c r="D68" s="3">
        <v>6</v>
      </c>
      <c r="E68" s="3"/>
      <c r="F68" s="3"/>
      <c r="G68" s="2"/>
      <c r="I68" s="2"/>
    </row>
    <row r="69" spans="1:11" x14ac:dyDescent="0.2">
      <c r="A69" s="3">
        <v>8</v>
      </c>
      <c r="B69" s="3">
        <v>1</v>
      </c>
      <c r="C69" s="3">
        <v>2</v>
      </c>
      <c r="D69" s="3">
        <v>7</v>
      </c>
      <c r="E69" s="3">
        <v>9</v>
      </c>
      <c r="F69" s="3">
        <v>11</v>
      </c>
      <c r="G69" s="2">
        <f>F69-E69</f>
        <v>2</v>
      </c>
      <c r="I69" s="2">
        <v>1</v>
      </c>
      <c r="J69">
        <f>E69-D69</f>
        <v>2</v>
      </c>
      <c r="K69" t="s">
        <v>59</v>
      </c>
    </row>
    <row r="70" spans="1:11" x14ac:dyDescent="0.2">
      <c r="A70" s="3">
        <v>9</v>
      </c>
      <c r="B70" s="3">
        <v>1</v>
      </c>
      <c r="C70" s="3">
        <v>1</v>
      </c>
      <c r="D70" s="3">
        <v>8</v>
      </c>
      <c r="E70" s="3">
        <v>11</v>
      </c>
      <c r="F70" s="3">
        <v>12</v>
      </c>
      <c r="G70" s="2">
        <f>F70-E70</f>
        <v>1</v>
      </c>
      <c r="H70" s="2"/>
      <c r="I70" s="2">
        <v>2</v>
      </c>
      <c r="J70">
        <f>E70-D70</f>
        <v>3</v>
      </c>
      <c r="K70" t="s">
        <v>60</v>
      </c>
    </row>
    <row r="71" spans="1:11" x14ac:dyDescent="0.2">
      <c r="A71" s="3">
        <v>10</v>
      </c>
      <c r="B71" s="3">
        <v>1</v>
      </c>
      <c r="D71" s="3">
        <v>9</v>
      </c>
      <c r="E71" s="3"/>
      <c r="F71" s="3"/>
      <c r="G71" s="2"/>
      <c r="H71" s="2"/>
      <c r="I71" s="2">
        <v>1</v>
      </c>
      <c r="K71" t="s">
        <v>61</v>
      </c>
    </row>
    <row r="72" spans="1:11" x14ac:dyDescent="0.2">
      <c r="A72" s="3">
        <v>11</v>
      </c>
      <c r="B72" s="3">
        <v>1</v>
      </c>
      <c r="D72" s="3">
        <v>10</v>
      </c>
      <c r="E72" s="3"/>
      <c r="F72" s="3"/>
      <c r="G72" s="2"/>
      <c r="H72" s="2"/>
    </row>
    <row r="73" spans="1:11" x14ac:dyDescent="0.2">
      <c r="A73" s="3">
        <v>12</v>
      </c>
      <c r="B73" s="3">
        <v>1</v>
      </c>
      <c r="D73" s="3">
        <v>11</v>
      </c>
      <c r="E73" s="3"/>
      <c r="F73" s="3"/>
      <c r="G73" s="2"/>
      <c r="H73" s="2"/>
    </row>
    <row r="74" spans="1:11" x14ac:dyDescent="0.2">
      <c r="A74" s="3">
        <v>13</v>
      </c>
      <c r="B74" s="3">
        <v>1</v>
      </c>
      <c r="C74" s="3">
        <v>2</v>
      </c>
      <c r="D74" s="3">
        <v>12</v>
      </c>
      <c r="E74" s="3">
        <v>12</v>
      </c>
      <c r="F74" s="3">
        <v>14</v>
      </c>
      <c r="G74" s="2">
        <f>F74-E74</f>
        <v>2</v>
      </c>
      <c r="H74" s="2"/>
    </row>
    <row r="75" spans="1:11" x14ac:dyDescent="0.2">
      <c r="A75" s="3">
        <v>14</v>
      </c>
      <c r="B75" s="3">
        <v>1</v>
      </c>
      <c r="D75" s="3">
        <v>13</v>
      </c>
      <c r="E75" s="3"/>
      <c r="F75" s="3"/>
      <c r="G75" s="2"/>
      <c r="H75" s="2"/>
    </row>
    <row r="76" spans="1:11" x14ac:dyDescent="0.2">
      <c r="A76" s="3">
        <v>15</v>
      </c>
      <c r="B76" s="3">
        <v>1</v>
      </c>
      <c r="D76" s="3">
        <v>14</v>
      </c>
      <c r="E76" s="3"/>
      <c r="F76" s="3"/>
      <c r="G76" s="2"/>
      <c r="H76" s="2"/>
    </row>
    <row r="77" spans="1:11" x14ac:dyDescent="0.2">
      <c r="A77" s="3">
        <v>16</v>
      </c>
      <c r="B77" s="3">
        <v>1</v>
      </c>
      <c r="C77" s="3">
        <v>0.5</v>
      </c>
      <c r="D77" s="3">
        <v>15</v>
      </c>
      <c r="E77" s="3">
        <v>15</v>
      </c>
      <c r="F77" s="3">
        <v>15.5</v>
      </c>
      <c r="G77" s="2">
        <f>F77-E77</f>
        <v>0.5</v>
      </c>
      <c r="H77" s="2"/>
    </row>
    <row r="78" spans="1:11" x14ac:dyDescent="0.2">
      <c r="A78" s="3">
        <v>17</v>
      </c>
      <c r="B78" s="3">
        <v>1</v>
      </c>
      <c r="D78" s="3">
        <v>16</v>
      </c>
      <c r="E78" s="3"/>
      <c r="F78" s="3"/>
      <c r="G78" s="2"/>
      <c r="H78" s="2"/>
    </row>
    <row r="79" spans="1:11" x14ac:dyDescent="0.2">
      <c r="A79" s="3">
        <v>18</v>
      </c>
      <c r="B79" s="3">
        <v>1</v>
      </c>
      <c r="C79" s="3">
        <v>1.5</v>
      </c>
      <c r="D79" s="3">
        <v>17</v>
      </c>
      <c r="E79" s="3">
        <v>17</v>
      </c>
      <c r="F79" s="3">
        <v>18.5</v>
      </c>
      <c r="G79" s="2">
        <f>F79-E79</f>
        <v>1.5</v>
      </c>
      <c r="H79" s="2"/>
    </row>
    <row r="80" spans="1:11" x14ac:dyDescent="0.2">
      <c r="A80" s="3">
        <v>19</v>
      </c>
      <c r="B80" s="3">
        <v>1</v>
      </c>
      <c r="C80" s="3">
        <v>3</v>
      </c>
      <c r="D80" s="3">
        <v>18</v>
      </c>
      <c r="E80" s="3">
        <v>18.5</v>
      </c>
      <c r="F80" s="3">
        <v>21.5</v>
      </c>
      <c r="G80" s="2">
        <f>F80-E80</f>
        <v>3</v>
      </c>
      <c r="H80" s="2"/>
      <c r="I80" s="3">
        <v>1</v>
      </c>
      <c r="J80">
        <f>E80-D80</f>
        <v>0.5</v>
      </c>
      <c r="K80" t="s">
        <v>62</v>
      </c>
    </row>
    <row r="81" spans="1:10" x14ac:dyDescent="0.2">
      <c r="A81" s="3">
        <v>20</v>
      </c>
      <c r="B81" s="3">
        <v>1</v>
      </c>
      <c r="D81" s="3">
        <v>19</v>
      </c>
      <c r="E81" s="3"/>
      <c r="F81" s="3"/>
      <c r="G81" s="2"/>
      <c r="H81" s="2"/>
    </row>
    <row r="82" spans="1:10" x14ac:dyDescent="0.2">
      <c r="A82" t="s">
        <v>63</v>
      </c>
      <c r="G82">
        <f>SUM(G62:G81)</f>
        <v>19</v>
      </c>
      <c r="I82">
        <f>SUM(I62:I81)</f>
        <v>8</v>
      </c>
      <c r="J82">
        <f>SUM(J62:J81)</f>
        <v>9</v>
      </c>
    </row>
    <row r="84" spans="1:10" x14ac:dyDescent="0.2">
      <c r="A84" s="7"/>
      <c r="B84" s="7"/>
      <c r="C84" s="7"/>
      <c r="D84" s="7"/>
      <c r="E84" s="7"/>
      <c r="F84" s="7"/>
      <c r="G84" s="7"/>
      <c r="H84" s="7"/>
      <c r="I84" s="7"/>
      <c r="J84" s="7"/>
    </row>
    <row r="85" spans="1:10" ht="27" x14ac:dyDescent="0.35">
      <c r="A85" s="13" t="s">
        <v>68</v>
      </c>
      <c r="B85" s="13"/>
      <c r="C85" s="13"/>
      <c r="D85" s="13"/>
      <c r="E85" s="13"/>
      <c r="F85" s="13"/>
      <c r="G85" s="13"/>
    </row>
    <row r="86" spans="1:10" x14ac:dyDescent="0.2">
      <c r="A86" s="14" t="s">
        <v>69</v>
      </c>
      <c r="B86" s="15"/>
      <c r="C86" s="15"/>
      <c r="D86" s="15"/>
      <c r="E86" s="15"/>
      <c r="F86" s="15"/>
      <c r="G86" s="15"/>
      <c r="H86" s="15"/>
    </row>
    <row r="87" spans="1:10" x14ac:dyDescent="0.2">
      <c r="A87" s="15"/>
      <c r="B87" s="15"/>
      <c r="C87" s="15"/>
      <c r="D87" s="15"/>
      <c r="E87" s="15"/>
      <c r="F87" s="15"/>
      <c r="G87" s="15"/>
      <c r="H87" s="15"/>
    </row>
    <row r="88" spans="1:10" x14ac:dyDescent="0.2">
      <c r="A88" s="15"/>
      <c r="B88" s="15"/>
      <c r="C88" s="15"/>
      <c r="D88" s="15"/>
      <c r="E88" s="15"/>
      <c r="F88" s="15"/>
      <c r="G88" s="15"/>
      <c r="H88" s="15"/>
    </row>
    <row r="89" spans="1:10" x14ac:dyDescent="0.2">
      <c r="A89" s="15"/>
      <c r="B89" s="15"/>
      <c r="C89" s="15"/>
      <c r="D89" s="15"/>
      <c r="E89" s="15"/>
      <c r="F89" s="15"/>
      <c r="G89" s="15"/>
      <c r="H89" s="15"/>
    </row>
    <row r="90" spans="1:10" x14ac:dyDescent="0.2">
      <c r="A90" s="16" t="s">
        <v>70</v>
      </c>
      <c r="B90" s="16"/>
    </row>
    <row r="91" spans="1:10" x14ac:dyDescent="0.2">
      <c r="A91" s="14" t="s">
        <v>71</v>
      </c>
      <c r="B91" s="14"/>
      <c r="C91" s="14"/>
      <c r="D91" s="14"/>
      <c r="E91" s="14"/>
      <c r="F91" s="14"/>
      <c r="G91" s="14"/>
      <c r="H91" s="14"/>
    </row>
    <row r="92" spans="1:10" x14ac:dyDescent="0.2">
      <c r="A92" s="14"/>
      <c r="B92" s="14"/>
      <c r="C92" s="14"/>
      <c r="D92" s="14"/>
      <c r="E92" s="14"/>
      <c r="F92" s="14"/>
      <c r="G92" s="14"/>
      <c r="H92" s="14"/>
    </row>
    <row r="93" spans="1:10" x14ac:dyDescent="0.2">
      <c r="A93" s="14"/>
      <c r="B93" s="14"/>
      <c r="C93" s="14"/>
      <c r="D93" s="14"/>
      <c r="E93" s="14"/>
      <c r="F93" s="14"/>
      <c r="G93" s="14"/>
      <c r="H93" s="14"/>
    </row>
    <row r="94" spans="1:10" x14ac:dyDescent="0.2">
      <c r="A94" s="14"/>
      <c r="B94" s="14"/>
      <c r="C94" s="14"/>
      <c r="D94" s="14"/>
      <c r="E94" s="14"/>
      <c r="F94" s="14"/>
      <c r="G94" s="14"/>
      <c r="H94" s="14"/>
    </row>
    <row r="95" spans="1:10" x14ac:dyDescent="0.2">
      <c r="A95" s="14"/>
      <c r="B95" s="14"/>
      <c r="C95" s="14"/>
      <c r="D95" s="14"/>
      <c r="E95" s="14"/>
      <c r="F95" s="14"/>
      <c r="G95" s="14"/>
      <c r="H95" s="14"/>
    </row>
  </sheetData>
  <mergeCells count="13">
    <mergeCell ref="A2:H6"/>
    <mergeCell ref="D13:E13"/>
    <mergeCell ref="A13:B13"/>
    <mergeCell ref="A1:G1"/>
    <mergeCell ref="A15:G15"/>
    <mergeCell ref="A85:G85"/>
    <mergeCell ref="A86:H89"/>
    <mergeCell ref="A91:H95"/>
    <mergeCell ref="A90:B90"/>
    <mergeCell ref="A16:H23"/>
    <mergeCell ref="A25:H27"/>
    <mergeCell ref="A49:H56"/>
    <mergeCell ref="A48:G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BE99-7088-F440-A959-2621C76B3E54}">
  <dimension ref="A1:U87"/>
  <sheetViews>
    <sheetView workbookViewId="0">
      <selection activeCell="D17" sqref="D17"/>
    </sheetView>
  </sheetViews>
  <sheetFormatPr baseColWidth="10" defaultRowHeight="16" x14ac:dyDescent="0.2"/>
  <cols>
    <col min="2" max="10" width="8.6640625" customWidth="1"/>
    <col min="18" max="18" width="11.6640625" bestFit="1" customWidth="1"/>
  </cols>
  <sheetData>
    <row r="1" spans="1:21" x14ac:dyDescent="0.2">
      <c r="A1" s="17" t="s">
        <v>0</v>
      </c>
      <c r="B1" s="18"/>
      <c r="C1" s="18"/>
      <c r="D1" s="18"/>
      <c r="E1" s="18"/>
      <c r="F1" s="18"/>
      <c r="G1" s="18"/>
      <c r="H1" s="18"/>
    </row>
    <row r="2" spans="1:21" x14ac:dyDescent="0.2">
      <c r="A2" s="18"/>
      <c r="B2" s="18"/>
      <c r="C2" s="18"/>
      <c r="D2" s="18"/>
      <c r="E2" s="18"/>
      <c r="F2" s="18"/>
      <c r="G2" s="18"/>
      <c r="H2" s="18"/>
    </row>
    <row r="3" spans="1:21" x14ac:dyDescent="0.2">
      <c r="A3" s="18"/>
      <c r="B3" s="18"/>
      <c r="C3" s="18"/>
      <c r="D3" s="18"/>
      <c r="E3" s="18"/>
      <c r="F3" s="18"/>
      <c r="G3" s="18"/>
      <c r="H3" s="18"/>
    </row>
    <row r="4" spans="1:21" x14ac:dyDescent="0.2">
      <c r="A4" s="18"/>
      <c r="B4" s="18"/>
      <c r="C4" s="18"/>
      <c r="D4" s="18"/>
      <c r="E4" s="18"/>
      <c r="F4" s="18"/>
      <c r="G4" s="18"/>
      <c r="H4" s="18"/>
    </row>
    <row r="5" spans="1:21" x14ac:dyDescent="0.2">
      <c r="A5" s="18"/>
      <c r="B5" s="18"/>
      <c r="C5" s="18"/>
      <c r="D5" s="18"/>
      <c r="E5" s="18"/>
      <c r="F5" s="18"/>
      <c r="G5" s="18"/>
      <c r="H5" s="18"/>
    </row>
    <row r="6" spans="1:21" x14ac:dyDescent="0.2">
      <c r="B6" t="s">
        <v>2</v>
      </c>
      <c r="C6" t="s">
        <v>1</v>
      </c>
      <c r="D6" t="s">
        <v>4</v>
      </c>
      <c r="H6" t="s">
        <v>2</v>
      </c>
      <c r="I6" t="s">
        <v>1</v>
      </c>
      <c r="J6" t="s">
        <v>4</v>
      </c>
    </row>
    <row r="7" spans="1:21" x14ac:dyDescent="0.2">
      <c r="B7">
        <v>3</v>
      </c>
      <c r="C7">
        <v>5</v>
      </c>
      <c r="D7">
        <f>B7*C7</f>
        <v>15</v>
      </c>
      <c r="H7">
        <v>2</v>
      </c>
      <c r="I7">
        <v>5</v>
      </c>
      <c r="J7">
        <f>H7*I7</f>
        <v>10</v>
      </c>
    </row>
    <row r="8" spans="1:21" x14ac:dyDescent="0.2">
      <c r="B8">
        <v>4</v>
      </c>
      <c r="C8">
        <v>10</v>
      </c>
      <c r="D8">
        <f t="shared" ref="D8:D10" si="0">B8*C8</f>
        <v>40</v>
      </c>
      <c r="H8">
        <v>1</v>
      </c>
      <c r="I8">
        <v>10</v>
      </c>
      <c r="J8">
        <f t="shared" ref="J8:J10" si="1">H8*I8</f>
        <v>10</v>
      </c>
    </row>
    <row r="9" spans="1:21" x14ac:dyDescent="0.2">
      <c r="B9">
        <v>2</v>
      </c>
      <c r="C9">
        <v>6</v>
      </c>
      <c r="D9">
        <f t="shared" si="0"/>
        <v>12</v>
      </c>
      <c r="H9">
        <v>2</v>
      </c>
      <c r="I9">
        <v>10</v>
      </c>
      <c r="J9">
        <f t="shared" si="1"/>
        <v>20</v>
      </c>
    </row>
    <row r="10" spans="1:21" x14ac:dyDescent="0.2">
      <c r="B10">
        <v>3</v>
      </c>
      <c r="C10">
        <v>9</v>
      </c>
      <c r="D10">
        <f t="shared" si="0"/>
        <v>27</v>
      </c>
      <c r="H10">
        <v>3</v>
      </c>
      <c r="I10">
        <v>5</v>
      </c>
      <c r="J10">
        <f t="shared" si="1"/>
        <v>15</v>
      </c>
    </row>
    <row r="11" spans="1:21" x14ac:dyDescent="0.2">
      <c r="A11" t="s">
        <v>3</v>
      </c>
      <c r="B11">
        <f>SUM(B7:B10)</f>
        <v>12</v>
      </c>
      <c r="C11">
        <f>SUM(C7:C10)</f>
        <v>30</v>
      </c>
      <c r="D11">
        <f>SUM(D7:D10)</f>
        <v>94</v>
      </c>
      <c r="G11" t="s">
        <v>3</v>
      </c>
      <c r="H11">
        <f>SUM(H7:H10)</f>
        <v>8</v>
      </c>
      <c r="I11">
        <f>SUM(I7:I10)</f>
        <v>30</v>
      </c>
      <c r="J11">
        <f>SUM(J7:J10)</f>
        <v>55</v>
      </c>
    </row>
    <row r="12" spans="1:21" x14ac:dyDescent="0.2">
      <c r="A12" t="s">
        <v>5</v>
      </c>
      <c r="C12">
        <f>D11/C11</f>
        <v>3.1333333333333333</v>
      </c>
      <c r="G12" t="s">
        <v>5</v>
      </c>
      <c r="I12">
        <f>J11/I11</f>
        <v>1.8333333333333333</v>
      </c>
    </row>
    <row r="15" spans="1:21" x14ac:dyDescent="0.2">
      <c r="A15" t="s">
        <v>6</v>
      </c>
    </row>
    <row r="16" spans="1:21" ht="51" x14ac:dyDescent="0.2">
      <c r="A16" s="2" t="s">
        <v>8</v>
      </c>
      <c r="B16" s="3" t="s">
        <v>9</v>
      </c>
      <c r="C16" s="3" t="s">
        <v>10</v>
      </c>
      <c r="D16" s="3" t="s">
        <v>7</v>
      </c>
      <c r="E16" s="3" t="s">
        <v>11</v>
      </c>
      <c r="F16" s="3" t="s">
        <v>12</v>
      </c>
      <c r="G16" s="3" t="s">
        <v>13</v>
      </c>
      <c r="H16" s="3" t="s">
        <v>14</v>
      </c>
      <c r="I16" s="3" t="s">
        <v>17</v>
      </c>
      <c r="J16" s="3" t="s">
        <v>18</v>
      </c>
      <c r="K16" s="3" t="s">
        <v>19</v>
      </c>
      <c r="L16" s="3" t="s">
        <v>20</v>
      </c>
      <c r="M16" s="3" t="s">
        <v>21</v>
      </c>
      <c r="N16" s="3" t="s">
        <v>22</v>
      </c>
      <c r="O16" s="3" t="s">
        <v>23</v>
      </c>
      <c r="P16" s="3" t="s">
        <v>24</v>
      </c>
      <c r="R16" s="3" t="s">
        <v>15</v>
      </c>
      <c r="S16" s="3" t="s">
        <v>16</v>
      </c>
      <c r="T16" s="3" t="s">
        <v>15</v>
      </c>
      <c r="U16" s="3" t="s">
        <v>16</v>
      </c>
    </row>
    <row r="17" spans="1:21" x14ac:dyDescent="0.2">
      <c r="A17" s="2">
        <v>1</v>
      </c>
      <c r="B17" s="2">
        <v>2</v>
      </c>
      <c r="C17" s="2">
        <v>11</v>
      </c>
      <c r="D17" s="2">
        <f>B17</f>
        <v>2</v>
      </c>
      <c r="E17" s="2">
        <f>D17</f>
        <v>2</v>
      </c>
      <c r="F17" s="2">
        <f>E17+C17</f>
        <v>13</v>
      </c>
      <c r="G17" s="2">
        <f>0</f>
        <v>0</v>
      </c>
      <c r="H17" s="2">
        <v>2</v>
      </c>
      <c r="I17" s="2">
        <v>1</v>
      </c>
      <c r="J17" s="2">
        <v>0</v>
      </c>
      <c r="K17" s="2">
        <v>0</v>
      </c>
      <c r="L17" s="2">
        <v>0</v>
      </c>
      <c r="M17" s="2">
        <v>0</v>
      </c>
      <c r="N17" s="2">
        <v>0</v>
      </c>
      <c r="Q17">
        <f>SUM(I17:P17)-1</f>
        <v>0</v>
      </c>
      <c r="R17" s="2">
        <v>0</v>
      </c>
      <c r="S17" s="2">
        <f>IF(F17&gt;D18,R17+1,R17-1)</f>
        <v>1</v>
      </c>
      <c r="T17">
        <f>COUNTIF(F12:F17,"&gt;"&amp;D17)-1</f>
        <v>0</v>
      </c>
      <c r="U17">
        <f t="shared" ref="U17:U24" si="2">COUNTIF(D17:D24,"&lt;"&amp;F17)-1</f>
        <v>1</v>
      </c>
    </row>
    <row r="18" spans="1:21" x14ac:dyDescent="0.2">
      <c r="A18" s="2">
        <v>2</v>
      </c>
      <c r="B18" s="2">
        <v>8</v>
      </c>
      <c r="C18" s="2">
        <v>8</v>
      </c>
      <c r="D18" s="2">
        <f>D17+B18</f>
        <v>10</v>
      </c>
      <c r="E18" s="2">
        <f>IF(F17&gt;D18,F17,D18)</f>
        <v>13</v>
      </c>
      <c r="F18" s="2">
        <f>E18+C18</f>
        <v>21</v>
      </c>
      <c r="G18" s="2">
        <f>IF(F17&gt;D18,F17-D18,0)</f>
        <v>3</v>
      </c>
      <c r="H18" s="2">
        <f>E18-F17</f>
        <v>0</v>
      </c>
      <c r="I18" s="2">
        <v>1</v>
      </c>
      <c r="J18" s="2">
        <v>1</v>
      </c>
      <c r="K18" s="2"/>
      <c r="L18" s="2"/>
      <c r="M18" s="2">
        <v>0</v>
      </c>
      <c r="N18" s="2">
        <v>0</v>
      </c>
      <c r="Q18">
        <f t="shared" ref="Q18:Q24" si="3">SUM(I18:P18)-1</f>
        <v>1</v>
      </c>
      <c r="R18" s="2">
        <f>S17</f>
        <v>1</v>
      </c>
      <c r="S18" s="2">
        <f>IF(F18&gt;D19,IF(F18&gt;D20,2,1),0)</f>
        <v>2</v>
      </c>
      <c r="T18">
        <f>COUNTIF(E17:E18,"&gt;"&amp;D18)</f>
        <v>1</v>
      </c>
      <c r="U18">
        <f t="shared" si="2"/>
        <v>2</v>
      </c>
    </row>
    <row r="19" spans="1:21" x14ac:dyDescent="0.2">
      <c r="A19" s="2">
        <v>3</v>
      </c>
      <c r="B19" s="2">
        <v>7</v>
      </c>
      <c r="C19" s="2">
        <v>5</v>
      </c>
      <c r="D19" s="2">
        <f t="shared" ref="D19:D24" si="4">D18+B19</f>
        <v>17</v>
      </c>
      <c r="E19" s="2">
        <f t="shared" ref="E19:E24" si="5">IF(F18&gt;D19,F18,D19)</f>
        <v>21</v>
      </c>
      <c r="F19" s="2">
        <f t="shared" ref="F19:F24" si="6">E19+C19</f>
        <v>26</v>
      </c>
      <c r="G19" s="2">
        <f t="shared" ref="G19:G24" si="7">IF(F18&gt;D19,F18-D19,0)</f>
        <v>4</v>
      </c>
      <c r="H19" s="2">
        <f t="shared" ref="H19:H24" si="8">E19-F18</f>
        <v>0</v>
      </c>
      <c r="I19" s="2">
        <v>0</v>
      </c>
      <c r="J19" s="2">
        <v>1</v>
      </c>
      <c r="K19" s="2">
        <v>1</v>
      </c>
      <c r="L19" s="2"/>
      <c r="M19" s="2">
        <v>0</v>
      </c>
      <c r="N19" s="2">
        <v>0</v>
      </c>
      <c r="Q19">
        <f t="shared" si="3"/>
        <v>1</v>
      </c>
      <c r="R19" s="2">
        <f>S18</f>
        <v>2</v>
      </c>
      <c r="S19" s="2">
        <f>IF(F19&gt;D20,IF(F19&gt;D21,2,1),0)</f>
        <v>1</v>
      </c>
      <c r="T19" s="4">
        <f>COUNTIF(E17:E19,"&gt;"&amp;D19)</f>
        <v>1</v>
      </c>
      <c r="U19">
        <f t="shared" si="2"/>
        <v>1</v>
      </c>
    </row>
    <row r="20" spans="1:21" x14ac:dyDescent="0.2">
      <c r="A20" s="2">
        <v>4</v>
      </c>
      <c r="B20" s="2">
        <v>2</v>
      </c>
      <c r="C20" s="2">
        <v>8</v>
      </c>
      <c r="D20" s="2">
        <f t="shared" si="4"/>
        <v>19</v>
      </c>
      <c r="E20" s="2">
        <f t="shared" si="5"/>
        <v>26</v>
      </c>
      <c r="F20" s="2">
        <f t="shared" si="6"/>
        <v>34</v>
      </c>
      <c r="G20" s="2">
        <f t="shared" si="7"/>
        <v>7</v>
      </c>
      <c r="H20" s="2">
        <f t="shared" si="8"/>
        <v>0</v>
      </c>
      <c r="I20" s="2">
        <v>0</v>
      </c>
      <c r="J20" s="2">
        <v>0</v>
      </c>
      <c r="K20" s="2">
        <v>0</v>
      </c>
      <c r="L20" s="2">
        <v>1</v>
      </c>
      <c r="M20" s="2">
        <v>1</v>
      </c>
      <c r="N20" s="2">
        <v>1</v>
      </c>
      <c r="Q20">
        <f t="shared" si="3"/>
        <v>2</v>
      </c>
      <c r="R20" s="2">
        <f t="shared" ref="R20:R24" si="9">S19</f>
        <v>1</v>
      </c>
      <c r="S20" s="2">
        <v>2</v>
      </c>
      <c r="T20">
        <f>COUNTIF(E17:E20,"&gt;"&amp;D20)</f>
        <v>2</v>
      </c>
      <c r="U20">
        <f t="shared" si="2"/>
        <v>3</v>
      </c>
    </row>
    <row r="21" spans="1:21" x14ac:dyDescent="0.2">
      <c r="A21" s="2">
        <v>5</v>
      </c>
      <c r="B21" s="2">
        <v>11</v>
      </c>
      <c r="C21" s="2">
        <v>8</v>
      </c>
      <c r="D21" s="2">
        <f t="shared" si="4"/>
        <v>30</v>
      </c>
      <c r="E21" s="2">
        <f t="shared" si="5"/>
        <v>34</v>
      </c>
      <c r="F21" s="2">
        <f t="shared" si="6"/>
        <v>42</v>
      </c>
      <c r="G21" s="2">
        <f t="shared" si="7"/>
        <v>4</v>
      </c>
      <c r="H21" s="2">
        <f t="shared" si="8"/>
        <v>0</v>
      </c>
      <c r="I21" s="2"/>
      <c r="J21" s="2"/>
      <c r="K21" s="2"/>
      <c r="L21" s="2">
        <v>1</v>
      </c>
      <c r="M21" s="2">
        <v>1</v>
      </c>
      <c r="N21" s="2">
        <v>1</v>
      </c>
      <c r="Q21">
        <f t="shared" si="3"/>
        <v>2</v>
      </c>
      <c r="R21" s="2">
        <f t="shared" si="9"/>
        <v>2</v>
      </c>
      <c r="S21" s="2">
        <v>2</v>
      </c>
      <c r="T21">
        <f>COUNTIF(E17:E21,"&gt;"&amp;D21)</f>
        <v>1</v>
      </c>
      <c r="U21" s="4">
        <f t="shared" si="2"/>
        <v>3</v>
      </c>
    </row>
    <row r="22" spans="1:21" x14ac:dyDescent="0.2">
      <c r="A22" s="2">
        <v>6</v>
      </c>
      <c r="B22" s="2">
        <v>3</v>
      </c>
      <c r="C22" s="2">
        <v>5</v>
      </c>
      <c r="D22" s="2">
        <f t="shared" si="4"/>
        <v>33</v>
      </c>
      <c r="E22" s="2">
        <f t="shared" si="5"/>
        <v>42</v>
      </c>
      <c r="F22" s="2">
        <f t="shared" si="6"/>
        <v>47</v>
      </c>
      <c r="G22" s="2">
        <f t="shared" si="7"/>
        <v>9</v>
      </c>
      <c r="H22" s="2">
        <f t="shared" si="8"/>
        <v>0</v>
      </c>
      <c r="I22" s="2"/>
      <c r="J22" s="2"/>
      <c r="K22" s="2"/>
      <c r="L22" s="2">
        <v>1</v>
      </c>
      <c r="M22" s="2">
        <v>1</v>
      </c>
      <c r="N22" s="2">
        <v>1</v>
      </c>
      <c r="Q22">
        <f t="shared" si="3"/>
        <v>2</v>
      </c>
      <c r="R22" s="2">
        <f t="shared" si="9"/>
        <v>2</v>
      </c>
      <c r="S22" s="2">
        <v>0</v>
      </c>
      <c r="T22">
        <f>COUNTIF(E17:E22,"&gt;"&amp;D22)</f>
        <v>2</v>
      </c>
      <c r="U22">
        <f t="shared" si="2"/>
        <v>3</v>
      </c>
    </row>
    <row r="23" spans="1:21" x14ac:dyDescent="0.2">
      <c r="A23" s="2">
        <v>7</v>
      </c>
      <c r="B23" s="2">
        <v>15</v>
      </c>
      <c r="C23" s="2">
        <v>10</v>
      </c>
      <c r="D23" s="2">
        <f t="shared" si="4"/>
        <v>48</v>
      </c>
      <c r="E23" s="2">
        <f t="shared" si="5"/>
        <v>48</v>
      </c>
      <c r="F23" s="2">
        <f t="shared" si="6"/>
        <v>58</v>
      </c>
      <c r="G23" s="2">
        <f t="shared" si="7"/>
        <v>0</v>
      </c>
      <c r="H23" s="2">
        <f t="shared" si="8"/>
        <v>1</v>
      </c>
      <c r="I23" s="2"/>
      <c r="J23" s="2"/>
      <c r="K23" s="2"/>
      <c r="L23" s="2"/>
      <c r="M23" s="2"/>
      <c r="N23" s="2"/>
      <c r="Q23">
        <f t="shared" si="3"/>
        <v>-1</v>
      </c>
      <c r="R23" s="2">
        <f t="shared" si="9"/>
        <v>0</v>
      </c>
      <c r="S23" s="2">
        <v>1</v>
      </c>
      <c r="T23">
        <f>COUNTIF(E17:E23,"&gt;"&amp;D23)</f>
        <v>0</v>
      </c>
      <c r="U23">
        <f t="shared" si="2"/>
        <v>5</v>
      </c>
    </row>
    <row r="24" spans="1:21" x14ac:dyDescent="0.2">
      <c r="A24" s="2">
        <v>8</v>
      </c>
      <c r="B24" s="2">
        <v>9</v>
      </c>
      <c r="C24" s="2">
        <v>12</v>
      </c>
      <c r="D24" s="2">
        <f t="shared" si="4"/>
        <v>57</v>
      </c>
      <c r="E24" s="2">
        <f t="shared" si="5"/>
        <v>58</v>
      </c>
      <c r="F24" s="2">
        <f t="shared" si="6"/>
        <v>70</v>
      </c>
      <c r="G24" s="2">
        <f t="shared" si="7"/>
        <v>1</v>
      </c>
      <c r="H24" s="2">
        <f t="shared" si="8"/>
        <v>0</v>
      </c>
      <c r="I24" s="2"/>
      <c r="J24" s="2"/>
      <c r="K24" s="2"/>
      <c r="L24" s="2"/>
      <c r="M24" s="2"/>
      <c r="N24" s="2"/>
      <c r="Q24">
        <f t="shared" si="3"/>
        <v>-1</v>
      </c>
      <c r="R24" s="2">
        <f t="shared" si="9"/>
        <v>1</v>
      </c>
      <c r="S24" s="2">
        <v>0</v>
      </c>
      <c r="T24">
        <f>COUNTIF(E17:E24,"&gt;"&amp;D24)</f>
        <v>1</v>
      </c>
      <c r="U24">
        <f t="shared" si="2"/>
        <v>5</v>
      </c>
    </row>
    <row r="26" spans="1:21" x14ac:dyDescent="0.2">
      <c r="Q26" t="s">
        <v>25</v>
      </c>
    </row>
    <row r="27" spans="1:21" x14ac:dyDescent="0.2">
      <c r="D27">
        <v>0</v>
      </c>
      <c r="I27">
        <f t="shared" ref="I27:I87" si="10">IF(AND($E$17&lt;=D27,$F$17&gt;D27),1,0)</f>
        <v>0</v>
      </c>
      <c r="J27" s="5">
        <f>IF(AND($E$18&lt;=$D27,$F$18&gt;$D27),1,0)</f>
        <v>0</v>
      </c>
      <c r="K27" s="5">
        <f>IF(AND($E$19&lt;=$D27,$F$19&gt;$D27),1,0)</f>
        <v>0</v>
      </c>
      <c r="L27" s="5">
        <f>IF(AND($E$20&lt;=$D27,$F$20&gt;$D27),1,0)</f>
        <v>0</v>
      </c>
      <c r="M27" s="5">
        <f>IF(AND($E$21&lt;=$D27,$F$21&gt;$D27),1,0)</f>
        <v>0</v>
      </c>
      <c r="N27" s="5">
        <f>IF(AND($E$22&lt;=$D27,$F$22&gt;$D27),1,0)</f>
        <v>0</v>
      </c>
      <c r="O27" s="5">
        <f>IF(AND($E$23&lt;=$D27,$F$23&gt;$D27),1,0)</f>
        <v>0</v>
      </c>
      <c r="P27" s="5">
        <f>IF(AND($E$24&lt;=$D27,$F$24&gt;$D27),1,0)</f>
        <v>0</v>
      </c>
      <c r="Q27">
        <f>IF(COUNTIF(I27:P27,"&gt;0")&gt;0,1,0)</f>
        <v>0</v>
      </c>
    </row>
    <row r="28" spans="1:21" x14ac:dyDescent="0.2">
      <c r="D28">
        <v>1</v>
      </c>
      <c r="I28">
        <f t="shared" si="10"/>
        <v>0</v>
      </c>
      <c r="J28" s="5">
        <f t="shared" ref="J28:J87" si="11">IF(AND($E$18&lt;=$D28,$F$18&gt;$D28),1,0)</f>
        <v>0</v>
      </c>
      <c r="K28" s="5">
        <f t="shared" ref="K28:K87" si="12">IF(AND($E$19&lt;=$D28,$F$19&gt;$D28),1,0)</f>
        <v>0</v>
      </c>
      <c r="L28" s="5">
        <f t="shared" ref="L28:L87" si="13">IF(AND($E$20&lt;=$D28,$F$20&gt;$D28),1,0)</f>
        <v>0</v>
      </c>
      <c r="M28" s="5">
        <f t="shared" ref="M28:M87" si="14">IF(AND($E$21&lt;=$D28,$F$21&gt;$D28),1,0)</f>
        <v>0</v>
      </c>
      <c r="N28" s="5">
        <f t="shared" ref="N28:N87" si="15">IF(AND($E$22&lt;=$D28,$F$22&gt;$D28),1,0)</f>
        <v>0</v>
      </c>
      <c r="O28" s="5">
        <f t="shared" ref="O28:O87" si="16">IF(AND($E$23&lt;=$D28,$F$23&gt;$D28),1,0)</f>
        <v>0</v>
      </c>
      <c r="P28" s="5">
        <f t="shared" ref="P28:P87" si="17">IF(AND($E$24&lt;=$D28,$F$24&gt;$D28),1,0)</f>
        <v>0</v>
      </c>
      <c r="Q28">
        <f t="shared" ref="Q28:Q87" si="18">IF(COUNTIF(I28:P28,"&gt;0")&gt;0,1,0)</f>
        <v>0</v>
      </c>
      <c r="R28" s="6">
        <f>SUM(Q$27:Q28)/D28</f>
        <v>0</v>
      </c>
    </row>
    <row r="29" spans="1:21" x14ac:dyDescent="0.2">
      <c r="D29">
        <v>2</v>
      </c>
      <c r="I29">
        <f t="shared" si="10"/>
        <v>1</v>
      </c>
      <c r="J29" s="5">
        <f t="shared" si="11"/>
        <v>0</v>
      </c>
      <c r="K29" s="5">
        <f t="shared" si="12"/>
        <v>0</v>
      </c>
      <c r="L29" s="5">
        <f t="shared" si="13"/>
        <v>0</v>
      </c>
      <c r="M29" s="5">
        <f t="shared" si="14"/>
        <v>0</v>
      </c>
      <c r="N29" s="5">
        <f t="shared" si="15"/>
        <v>0</v>
      </c>
      <c r="O29" s="5">
        <f t="shared" si="16"/>
        <v>0</v>
      </c>
      <c r="P29" s="5">
        <f t="shared" si="17"/>
        <v>0</v>
      </c>
      <c r="Q29">
        <f t="shared" si="18"/>
        <v>1</v>
      </c>
      <c r="R29" s="6">
        <f>(SUM(Q$27:Q29)-1)/D29</f>
        <v>0</v>
      </c>
    </row>
    <row r="30" spans="1:21" x14ac:dyDescent="0.2">
      <c r="D30">
        <v>3</v>
      </c>
      <c r="I30">
        <f t="shared" si="10"/>
        <v>1</v>
      </c>
      <c r="J30" s="5">
        <f t="shared" si="11"/>
        <v>0</v>
      </c>
      <c r="K30" s="5">
        <f t="shared" si="12"/>
        <v>0</v>
      </c>
      <c r="L30" s="5">
        <f t="shared" si="13"/>
        <v>0</v>
      </c>
      <c r="M30" s="5">
        <f t="shared" si="14"/>
        <v>0</v>
      </c>
      <c r="N30" s="5">
        <f t="shared" si="15"/>
        <v>0</v>
      </c>
      <c r="O30" s="5">
        <f t="shared" si="16"/>
        <v>0</v>
      </c>
      <c r="P30" s="5">
        <f t="shared" si="17"/>
        <v>0</v>
      </c>
      <c r="Q30">
        <f t="shared" si="18"/>
        <v>1</v>
      </c>
      <c r="R30" s="6">
        <f>(SUM(Q$27:Q30)-1)/D30</f>
        <v>0.33333333333333331</v>
      </c>
    </row>
    <row r="31" spans="1:21" x14ac:dyDescent="0.2">
      <c r="D31">
        <v>4</v>
      </c>
      <c r="I31">
        <f t="shared" si="10"/>
        <v>1</v>
      </c>
      <c r="J31" s="5">
        <f t="shared" si="11"/>
        <v>0</v>
      </c>
      <c r="K31" s="5">
        <f t="shared" si="12"/>
        <v>0</v>
      </c>
      <c r="L31" s="5">
        <f t="shared" si="13"/>
        <v>0</v>
      </c>
      <c r="M31" s="5">
        <f t="shared" si="14"/>
        <v>0</v>
      </c>
      <c r="N31" s="5">
        <f t="shared" si="15"/>
        <v>0</v>
      </c>
      <c r="O31" s="5">
        <f t="shared" si="16"/>
        <v>0</v>
      </c>
      <c r="P31" s="5">
        <f t="shared" si="17"/>
        <v>0</v>
      </c>
      <c r="Q31">
        <f t="shared" si="18"/>
        <v>1</v>
      </c>
      <c r="R31" s="6">
        <f>(SUM(Q$27:Q31)-1)/D31</f>
        <v>0.5</v>
      </c>
    </row>
    <row r="32" spans="1:21" x14ac:dyDescent="0.2">
      <c r="D32">
        <v>5</v>
      </c>
      <c r="I32">
        <f t="shared" si="10"/>
        <v>1</v>
      </c>
      <c r="J32" s="5">
        <f t="shared" si="11"/>
        <v>0</v>
      </c>
      <c r="K32" s="5">
        <f t="shared" si="12"/>
        <v>0</v>
      </c>
      <c r="L32" s="5">
        <f t="shared" si="13"/>
        <v>0</v>
      </c>
      <c r="M32" s="5">
        <f t="shared" si="14"/>
        <v>0</v>
      </c>
      <c r="N32" s="5">
        <f t="shared" si="15"/>
        <v>0</v>
      </c>
      <c r="O32" s="5">
        <f t="shared" si="16"/>
        <v>0</v>
      </c>
      <c r="P32" s="5">
        <f t="shared" si="17"/>
        <v>0</v>
      </c>
      <c r="Q32">
        <f t="shared" si="18"/>
        <v>1</v>
      </c>
      <c r="R32" s="6">
        <f>(SUM(Q$27:Q32)-1)/D32</f>
        <v>0.6</v>
      </c>
    </row>
    <row r="33" spans="4:20" x14ac:dyDescent="0.2">
      <c r="D33">
        <v>6</v>
      </c>
      <c r="I33">
        <f t="shared" si="10"/>
        <v>1</v>
      </c>
      <c r="J33" s="5">
        <f t="shared" si="11"/>
        <v>0</v>
      </c>
      <c r="K33" s="5">
        <f t="shared" si="12"/>
        <v>0</v>
      </c>
      <c r="L33" s="5">
        <f t="shared" si="13"/>
        <v>0</v>
      </c>
      <c r="M33" s="5">
        <f t="shared" si="14"/>
        <v>0</v>
      </c>
      <c r="N33" s="5">
        <f t="shared" si="15"/>
        <v>0</v>
      </c>
      <c r="O33" s="5">
        <f t="shared" si="16"/>
        <v>0</v>
      </c>
      <c r="P33" s="5">
        <f t="shared" si="17"/>
        <v>0</v>
      </c>
      <c r="Q33">
        <f t="shared" si="18"/>
        <v>1</v>
      </c>
      <c r="R33" s="6">
        <f>(SUM(Q$27:Q33)-1)/D33</f>
        <v>0.66666666666666663</v>
      </c>
    </row>
    <row r="34" spans="4:20" x14ac:dyDescent="0.2">
      <c r="D34">
        <v>7</v>
      </c>
      <c r="I34">
        <f t="shared" si="10"/>
        <v>1</v>
      </c>
      <c r="J34" s="5">
        <f t="shared" si="11"/>
        <v>0</v>
      </c>
      <c r="K34" s="5">
        <f t="shared" si="12"/>
        <v>0</v>
      </c>
      <c r="L34" s="5">
        <f t="shared" si="13"/>
        <v>0</v>
      </c>
      <c r="M34" s="5">
        <f t="shared" si="14"/>
        <v>0</v>
      </c>
      <c r="N34" s="5">
        <f t="shared" si="15"/>
        <v>0</v>
      </c>
      <c r="O34" s="5">
        <f t="shared" si="16"/>
        <v>0</v>
      </c>
      <c r="P34" s="5">
        <f t="shared" si="17"/>
        <v>0</v>
      </c>
      <c r="Q34">
        <f t="shared" si="18"/>
        <v>1</v>
      </c>
      <c r="R34" s="6">
        <f>(SUM(Q$27:Q34)-1)/D34</f>
        <v>0.7142857142857143</v>
      </c>
    </row>
    <row r="35" spans="4:20" x14ac:dyDescent="0.2">
      <c r="D35">
        <v>8</v>
      </c>
      <c r="I35">
        <f t="shared" si="10"/>
        <v>1</v>
      </c>
      <c r="J35" s="5">
        <f t="shared" si="11"/>
        <v>0</v>
      </c>
      <c r="K35" s="5">
        <f t="shared" si="12"/>
        <v>0</v>
      </c>
      <c r="L35" s="5">
        <f t="shared" si="13"/>
        <v>0</v>
      </c>
      <c r="M35" s="5">
        <f t="shared" si="14"/>
        <v>0</v>
      </c>
      <c r="N35" s="5">
        <f t="shared" si="15"/>
        <v>0</v>
      </c>
      <c r="O35" s="5">
        <f t="shared" si="16"/>
        <v>0</v>
      </c>
      <c r="P35" s="5">
        <f t="shared" si="17"/>
        <v>0</v>
      </c>
      <c r="Q35">
        <f t="shared" si="18"/>
        <v>1</v>
      </c>
      <c r="R35" s="6">
        <f>(SUM(Q$27:Q35)-1)/D35</f>
        <v>0.75</v>
      </c>
    </row>
    <row r="36" spans="4:20" x14ac:dyDescent="0.2">
      <c r="D36">
        <v>9</v>
      </c>
      <c r="I36">
        <f t="shared" si="10"/>
        <v>1</v>
      </c>
      <c r="J36" s="5">
        <f t="shared" si="11"/>
        <v>0</v>
      </c>
      <c r="K36" s="5">
        <f t="shared" si="12"/>
        <v>0</v>
      </c>
      <c r="L36" s="5">
        <f t="shared" si="13"/>
        <v>0</v>
      </c>
      <c r="M36" s="5">
        <f t="shared" si="14"/>
        <v>0</v>
      </c>
      <c r="N36" s="5">
        <f t="shared" si="15"/>
        <v>0</v>
      </c>
      <c r="O36" s="5">
        <f t="shared" si="16"/>
        <v>0</v>
      </c>
      <c r="P36" s="5">
        <f t="shared" si="17"/>
        <v>0</v>
      </c>
      <c r="Q36">
        <f t="shared" si="18"/>
        <v>1</v>
      </c>
      <c r="R36" s="6">
        <f>(SUM(Q$27:Q36)-1)/D36</f>
        <v>0.77777777777777779</v>
      </c>
    </row>
    <row r="37" spans="4:20" x14ac:dyDescent="0.2">
      <c r="D37">
        <v>10</v>
      </c>
      <c r="I37">
        <f t="shared" si="10"/>
        <v>1</v>
      </c>
      <c r="J37" s="5">
        <f t="shared" si="11"/>
        <v>0</v>
      </c>
      <c r="K37" s="5">
        <f t="shared" si="12"/>
        <v>0</v>
      </c>
      <c r="L37" s="5">
        <f t="shared" si="13"/>
        <v>0</v>
      </c>
      <c r="M37" s="5">
        <f t="shared" si="14"/>
        <v>0</v>
      </c>
      <c r="N37" s="5">
        <f t="shared" si="15"/>
        <v>0</v>
      </c>
      <c r="O37" s="5">
        <f t="shared" si="16"/>
        <v>0</v>
      </c>
      <c r="P37" s="5">
        <f t="shared" si="17"/>
        <v>0</v>
      </c>
      <c r="Q37">
        <f t="shared" si="18"/>
        <v>1</v>
      </c>
      <c r="R37" s="6">
        <f>(SUM(Q$27:Q37)-1)/D37</f>
        <v>0.8</v>
      </c>
      <c r="S37">
        <v>0.8</v>
      </c>
      <c r="T37" s="6">
        <f>R37-S37</f>
        <v>0</v>
      </c>
    </row>
    <row r="38" spans="4:20" x14ac:dyDescent="0.2">
      <c r="D38">
        <v>11</v>
      </c>
      <c r="I38">
        <f t="shared" si="10"/>
        <v>1</v>
      </c>
      <c r="J38" s="5">
        <f t="shared" si="11"/>
        <v>0</v>
      </c>
      <c r="K38" s="5">
        <f t="shared" si="12"/>
        <v>0</v>
      </c>
      <c r="L38" s="5">
        <f t="shared" si="13"/>
        <v>0</v>
      </c>
      <c r="M38" s="5">
        <f t="shared" si="14"/>
        <v>0</v>
      </c>
      <c r="N38" s="5">
        <f t="shared" si="15"/>
        <v>0</v>
      </c>
      <c r="O38" s="5">
        <f t="shared" si="16"/>
        <v>0</v>
      </c>
      <c r="P38" s="5">
        <f t="shared" si="17"/>
        <v>0</v>
      </c>
      <c r="Q38">
        <f t="shared" si="18"/>
        <v>1</v>
      </c>
      <c r="R38" s="6">
        <f>(SUM(Q$27:Q38)-1)/D38</f>
        <v>0.81818181818181823</v>
      </c>
    </row>
    <row r="39" spans="4:20" x14ac:dyDescent="0.2">
      <c r="D39">
        <v>12</v>
      </c>
      <c r="I39">
        <f t="shared" si="10"/>
        <v>1</v>
      </c>
      <c r="J39" s="5">
        <f t="shared" si="11"/>
        <v>0</v>
      </c>
      <c r="K39" s="5">
        <f t="shared" si="12"/>
        <v>0</v>
      </c>
      <c r="L39" s="5">
        <f t="shared" si="13"/>
        <v>0</v>
      </c>
      <c r="M39" s="5">
        <f t="shared" si="14"/>
        <v>0</v>
      </c>
      <c r="N39" s="5">
        <f t="shared" si="15"/>
        <v>0</v>
      </c>
      <c r="O39" s="5">
        <f t="shared" si="16"/>
        <v>0</v>
      </c>
      <c r="P39" s="5">
        <f t="shared" si="17"/>
        <v>0</v>
      </c>
      <c r="Q39">
        <f t="shared" si="18"/>
        <v>1</v>
      </c>
      <c r="R39" s="6">
        <f>(SUM(Q$27:Q39)-1)/D39</f>
        <v>0.83333333333333337</v>
      </c>
    </row>
    <row r="40" spans="4:20" x14ac:dyDescent="0.2">
      <c r="D40">
        <v>13</v>
      </c>
      <c r="I40">
        <f t="shared" si="10"/>
        <v>0</v>
      </c>
      <c r="J40" s="5">
        <f t="shared" si="11"/>
        <v>1</v>
      </c>
      <c r="K40" s="5">
        <f t="shared" si="12"/>
        <v>0</v>
      </c>
      <c r="L40" s="5">
        <f t="shared" si="13"/>
        <v>0</v>
      </c>
      <c r="M40" s="5">
        <f t="shared" si="14"/>
        <v>0</v>
      </c>
      <c r="N40" s="5">
        <f t="shared" si="15"/>
        <v>0</v>
      </c>
      <c r="O40" s="5">
        <f t="shared" si="16"/>
        <v>0</v>
      </c>
      <c r="P40" s="5">
        <f t="shared" si="17"/>
        <v>0</v>
      </c>
      <c r="Q40">
        <f t="shared" si="18"/>
        <v>1</v>
      </c>
      <c r="R40" s="6">
        <f>(SUM(Q$27:Q40)-1)/D40</f>
        <v>0.84615384615384615</v>
      </c>
      <c r="S40">
        <v>0.85</v>
      </c>
      <c r="T40" s="6">
        <f>R40-S40</f>
        <v>-3.8461538461538325E-3</v>
      </c>
    </row>
    <row r="41" spans="4:20" x14ac:dyDescent="0.2">
      <c r="D41">
        <v>14</v>
      </c>
      <c r="I41">
        <f t="shared" si="10"/>
        <v>0</v>
      </c>
      <c r="J41" s="5">
        <f t="shared" si="11"/>
        <v>1</v>
      </c>
      <c r="K41" s="5">
        <f t="shared" si="12"/>
        <v>0</v>
      </c>
      <c r="L41" s="5">
        <f t="shared" si="13"/>
        <v>0</v>
      </c>
      <c r="M41" s="5">
        <f t="shared" si="14"/>
        <v>0</v>
      </c>
      <c r="N41" s="5">
        <f t="shared" si="15"/>
        <v>0</v>
      </c>
      <c r="O41" s="5">
        <f t="shared" si="16"/>
        <v>0</v>
      </c>
      <c r="P41" s="5">
        <f t="shared" si="17"/>
        <v>0</v>
      </c>
      <c r="Q41">
        <f t="shared" si="18"/>
        <v>1</v>
      </c>
      <c r="R41" s="6">
        <f>(SUM(Q$27:Q41)-1)/D41</f>
        <v>0.8571428571428571</v>
      </c>
    </row>
    <row r="42" spans="4:20" x14ac:dyDescent="0.2">
      <c r="D42">
        <v>15</v>
      </c>
      <c r="I42">
        <f t="shared" si="10"/>
        <v>0</v>
      </c>
      <c r="J42" s="5">
        <f t="shared" si="11"/>
        <v>1</v>
      </c>
      <c r="K42" s="5">
        <f t="shared" si="12"/>
        <v>0</v>
      </c>
      <c r="L42" s="5">
        <f t="shared" si="13"/>
        <v>0</v>
      </c>
      <c r="M42" s="5">
        <f t="shared" si="14"/>
        <v>0</v>
      </c>
      <c r="N42" s="5">
        <f t="shared" si="15"/>
        <v>0</v>
      </c>
      <c r="O42" s="5">
        <f t="shared" si="16"/>
        <v>0</v>
      </c>
      <c r="P42" s="5">
        <f t="shared" si="17"/>
        <v>0</v>
      </c>
      <c r="Q42">
        <f t="shared" si="18"/>
        <v>1</v>
      </c>
      <c r="R42" s="6">
        <f>(SUM(Q$27:Q42)-1)/D42</f>
        <v>0.8666666666666667</v>
      </c>
    </row>
    <row r="43" spans="4:20" x14ac:dyDescent="0.2">
      <c r="D43">
        <v>16</v>
      </c>
      <c r="I43">
        <f t="shared" si="10"/>
        <v>0</v>
      </c>
      <c r="J43" s="5">
        <f t="shared" si="11"/>
        <v>1</v>
      </c>
      <c r="K43" s="5">
        <f t="shared" si="12"/>
        <v>0</v>
      </c>
      <c r="L43" s="5">
        <f t="shared" si="13"/>
        <v>0</v>
      </c>
      <c r="M43" s="5">
        <f t="shared" si="14"/>
        <v>0</v>
      </c>
      <c r="N43" s="5">
        <f t="shared" si="15"/>
        <v>0</v>
      </c>
      <c r="O43" s="5">
        <f t="shared" si="16"/>
        <v>0</v>
      </c>
      <c r="P43" s="5">
        <f t="shared" si="17"/>
        <v>0</v>
      </c>
      <c r="Q43">
        <f t="shared" si="18"/>
        <v>1</v>
      </c>
      <c r="R43" s="6">
        <f>(SUM(Q$27:Q43)-1)/D43</f>
        <v>0.875</v>
      </c>
    </row>
    <row r="44" spans="4:20" x14ac:dyDescent="0.2">
      <c r="D44">
        <v>17</v>
      </c>
      <c r="I44">
        <f t="shared" si="10"/>
        <v>0</v>
      </c>
      <c r="J44" s="5">
        <f t="shared" si="11"/>
        <v>1</v>
      </c>
      <c r="K44" s="5">
        <f t="shared" si="12"/>
        <v>0</v>
      </c>
      <c r="L44" s="5">
        <f t="shared" si="13"/>
        <v>0</v>
      </c>
      <c r="M44" s="5">
        <f t="shared" si="14"/>
        <v>0</v>
      </c>
      <c r="N44" s="5">
        <f t="shared" si="15"/>
        <v>0</v>
      </c>
      <c r="O44" s="5">
        <f t="shared" si="16"/>
        <v>0</v>
      </c>
      <c r="P44" s="5">
        <f t="shared" si="17"/>
        <v>0</v>
      </c>
      <c r="Q44">
        <f t="shared" si="18"/>
        <v>1</v>
      </c>
      <c r="R44" s="6">
        <f>(SUM(Q$27:Q44)-1)/D44</f>
        <v>0.88235294117647056</v>
      </c>
      <c r="S44">
        <v>0.88</v>
      </c>
      <c r="T44" s="6">
        <f>R44-S44</f>
        <v>2.3529411764705577E-3</v>
      </c>
    </row>
    <row r="45" spans="4:20" x14ac:dyDescent="0.2">
      <c r="D45">
        <v>18</v>
      </c>
      <c r="I45">
        <f t="shared" si="10"/>
        <v>0</v>
      </c>
      <c r="J45" s="5">
        <f t="shared" si="11"/>
        <v>1</v>
      </c>
      <c r="K45" s="5">
        <f t="shared" si="12"/>
        <v>0</v>
      </c>
      <c r="L45" s="5">
        <f t="shared" si="13"/>
        <v>0</v>
      </c>
      <c r="M45" s="5">
        <f t="shared" si="14"/>
        <v>0</v>
      </c>
      <c r="N45" s="5">
        <f t="shared" si="15"/>
        <v>0</v>
      </c>
      <c r="O45" s="5">
        <f t="shared" si="16"/>
        <v>0</v>
      </c>
      <c r="P45" s="5">
        <f t="shared" si="17"/>
        <v>0</v>
      </c>
      <c r="Q45">
        <f t="shared" si="18"/>
        <v>1</v>
      </c>
      <c r="R45" s="6">
        <f>(SUM(Q$27:Q45)-1)/D45</f>
        <v>0.88888888888888884</v>
      </c>
    </row>
    <row r="46" spans="4:20" x14ac:dyDescent="0.2">
      <c r="D46">
        <v>19</v>
      </c>
      <c r="I46">
        <f t="shared" si="10"/>
        <v>0</v>
      </c>
      <c r="J46" s="5">
        <f t="shared" si="11"/>
        <v>1</v>
      </c>
      <c r="K46" s="5">
        <f t="shared" si="12"/>
        <v>0</v>
      </c>
      <c r="L46" s="5">
        <f t="shared" si="13"/>
        <v>0</v>
      </c>
      <c r="M46" s="5">
        <f t="shared" si="14"/>
        <v>0</v>
      </c>
      <c r="N46" s="5">
        <f t="shared" si="15"/>
        <v>0</v>
      </c>
      <c r="O46" s="5">
        <f t="shared" si="16"/>
        <v>0</v>
      </c>
      <c r="P46" s="5">
        <f t="shared" si="17"/>
        <v>0</v>
      </c>
      <c r="Q46">
        <f t="shared" si="18"/>
        <v>1</v>
      </c>
      <c r="R46" s="6">
        <f>(SUM(Q$27:Q46)-1)/D46</f>
        <v>0.89473684210526316</v>
      </c>
      <c r="S46">
        <v>0.89</v>
      </c>
      <c r="T46" s="6">
        <f>R46-S46</f>
        <v>4.7368421052631504E-3</v>
      </c>
    </row>
    <row r="47" spans="4:20" x14ac:dyDescent="0.2">
      <c r="D47">
        <v>20</v>
      </c>
      <c r="I47">
        <f t="shared" si="10"/>
        <v>0</v>
      </c>
      <c r="J47" s="5">
        <f t="shared" si="11"/>
        <v>1</v>
      </c>
      <c r="K47" s="5">
        <f t="shared" si="12"/>
        <v>0</v>
      </c>
      <c r="L47" s="5">
        <f t="shared" si="13"/>
        <v>0</v>
      </c>
      <c r="M47" s="5">
        <f t="shared" si="14"/>
        <v>0</v>
      </c>
      <c r="N47" s="5">
        <f t="shared" si="15"/>
        <v>0</v>
      </c>
      <c r="O47" s="5">
        <f t="shared" si="16"/>
        <v>0</v>
      </c>
      <c r="P47" s="5">
        <f t="shared" si="17"/>
        <v>0</v>
      </c>
      <c r="Q47">
        <f t="shared" si="18"/>
        <v>1</v>
      </c>
      <c r="R47" s="6">
        <f>(SUM(Q$27:Q47)-1)/D47</f>
        <v>0.9</v>
      </c>
    </row>
    <row r="48" spans="4:20" x14ac:dyDescent="0.2">
      <c r="D48">
        <v>21</v>
      </c>
      <c r="I48">
        <f t="shared" si="10"/>
        <v>0</v>
      </c>
      <c r="J48" s="5">
        <f t="shared" si="11"/>
        <v>0</v>
      </c>
      <c r="K48" s="5">
        <f t="shared" si="12"/>
        <v>1</v>
      </c>
      <c r="L48" s="5">
        <f t="shared" si="13"/>
        <v>0</v>
      </c>
      <c r="M48" s="5">
        <f t="shared" si="14"/>
        <v>0</v>
      </c>
      <c r="N48" s="5">
        <f t="shared" si="15"/>
        <v>0</v>
      </c>
      <c r="O48" s="5">
        <f t="shared" si="16"/>
        <v>0</v>
      </c>
      <c r="P48" s="5">
        <f t="shared" si="17"/>
        <v>0</v>
      </c>
      <c r="Q48">
        <f t="shared" si="18"/>
        <v>1</v>
      </c>
      <c r="R48" s="6">
        <f>(SUM(Q$27:Q48)-1)/D48</f>
        <v>0.90476190476190477</v>
      </c>
      <c r="S48">
        <v>0.9</v>
      </c>
      <c r="T48" s="6">
        <f>R48-S48</f>
        <v>4.761904761904745E-3</v>
      </c>
    </row>
    <row r="49" spans="4:20" x14ac:dyDescent="0.2">
      <c r="D49">
        <v>22</v>
      </c>
      <c r="I49">
        <f t="shared" si="10"/>
        <v>0</v>
      </c>
      <c r="J49" s="5">
        <f t="shared" si="11"/>
        <v>0</v>
      </c>
      <c r="K49" s="5">
        <f t="shared" si="12"/>
        <v>1</v>
      </c>
      <c r="L49" s="5">
        <f t="shared" si="13"/>
        <v>0</v>
      </c>
      <c r="M49" s="5">
        <f t="shared" si="14"/>
        <v>0</v>
      </c>
      <c r="N49" s="5">
        <f t="shared" si="15"/>
        <v>0</v>
      </c>
      <c r="O49" s="5">
        <f t="shared" si="16"/>
        <v>0</v>
      </c>
      <c r="P49" s="5">
        <f t="shared" si="17"/>
        <v>0</v>
      </c>
      <c r="Q49">
        <f t="shared" si="18"/>
        <v>1</v>
      </c>
      <c r="R49" s="6">
        <f>(SUM(Q$27:Q49)-1)/D49</f>
        <v>0.90909090909090906</v>
      </c>
    </row>
    <row r="50" spans="4:20" x14ac:dyDescent="0.2">
      <c r="D50">
        <v>23</v>
      </c>
      <c r="I50">
        <f t="shared" si="10"/>
        <v>0</v>
      </c>
      <c r="J50" s="5">
        <f t="shared" si="11"/>
        <v>0</v>
      </c>
      <c r="K50" s="5">
        <f t="shared" si="12"/>
        <v>1</v>
      </c>
      <c r="L50" s="5">
        <f t="shared" si="13"/>
        <v>0</v>
      </c>
      <c r="M50" s="5">
        <f t="shared" si="14"/>
        <v>0</v>
      </c>
      <c r="N50" s="5">
        <f t="shared" si="15"/>
        <v>0</v>
      </c>
      <c r="O50" s="5">
        <f t="shared" si="16"/>
        <v>0</v>
      </c>
      <c r="P50" s="5">
        <f t="shared" si="17"/>
        <v>0</v>
      </c>
      <c r="Q50">
        <f t="shared" si="18"/>
        <v>1</v>
      </c>
      <c r="R50" s="6">
        <f>(SUM(Q$27:Q50)-1)/D50</f>
        <v>0.91304347826086951</v>
      </c>
    </row>
    <row r="51" spans="4:20" x14ac:dyDescent="0.2">
      <c r="D51">
        <v>24</v>
      </c>
      <c r="I51">
        <f t="shared" si="10"/>
        <v>0</v>
      </c>
      <c r="J51" s="5">
        <f t="shared" si="11"/>
        <v>0</v>
      </c>
      <c r="K51" s="5">
        <f t="shared" si="12"/>
        <v>1</v>
      </c>
      <c r="L51" s="5">
        <f t="shared" si="13"/>
        <v>0</v>
      </c>
      <c r="M51" s="5">
        <f t="shared" si="14"/>
        <v>0</v>
      </c>
      <c r="N51" s="5">
        <f t="shared" si="15"/>
        <v>0</v>
      </c>
      <c r="O51" s="5">
        <f t="shared" si="16"/>
        <v>0</v>
      </c>
      <c r="P51" s="5">
        <f t="shared" si="17"/>
        <v>0</v>
      </c>
      <c r="Q51">
        <f t="shared" si="18"/>
        <v>1</v>
      </c>
      <c r="R51" s="6">
        <f>(SUM(Q$27:Q51)-1)/D51</f>
        <v>0.91666666666666663</v>
      </c>
    </row>
    <row r="52" spans="4:20" x14ac:dyDescent="0.2">
      <c r="D52">
        <v>25</v>
      </c>
      <c r="I52">
        <f t="shared" si="10"/>
        <v>0</v>
      </c>
      <c r="J52" s="5">
        <f t="shared" si="11"/>
        <v>0</v>
      </c>
      <c r="K52" s="5">
        <f t="shared" si="12"/>
        <v>1</v>
      </c>
      <c r="L52" s="5">
        <f t="shared" si="13"/>
        <v>0</v>
      </c>
      <c r="M52" s="5">
        <f t="shared" si="14"/>
        <v>0</v>
      </c>
      <c r="N52" s="5">
        <f t="shared" si="15"/>
        <v>0</v>
      </c>
      <c r="O52" s="5">
        <f t="shared" si="16"/>
        <v>0</v>
      </c>
      <c r="P52" s="5">
        <f t="shared" si="17"/>
        <v>0</v>
      </c>
      <c r="Q52">
        <f t="shared" si="18"/>
        <v>1</v>
      </c>
      <c r="R52" s="6">
        <f>(SUM(Q$27:Q52)-1)/D52</f>
        <v>0.92</v>
      </c>
    </row>
    <row r="53" spans="4:20" x14ac:dyDescent="0.2">
      <c r="D53">
        <v>26</v>
      </c>
      <c r="I53">
        <f t="shared" si="10"/>
        <v>0</v>
      </c>
      <c r="J53" s="5">
        <f t="shared" si="11"/>
        <v>0</v>
      </c>
      <c r="K53" s="5">
        <f t="shared" si="12"/>
        <v>0</v>
      </c>
      <c r="L53" s="5">
        <f t="shared" si="13"/>
        <v>1</v>
      </c>
      <c r="M53" s="5">
        <f t="shared" si="14"/>
        <v>0</v>
      </c>
      <c r="N53" s="5">
        <f t="shared" si="15"/>
        <v>0</v>
      </c>
      <c r="O53" s="5">
        <f t="shared" si="16"/>
        <v>0</v>
      </c>
      <c r="P53" s="5">
        <f t="shared" si="17"/>
        <v>0</v>
      </c>
      <c r="Q53">
        <f t="shared" si="18"/>
        <v>1</v>
      </c>
      <c r="R53" s="6">
        <f>(SUM(Q$27:Q53)-1)/D53</f>
        <v>0.92307692307692313</v>
      </c>
      <c r="S53">
        <v>0.92</v>
      </c>
      <c r="T53" s="6">
        <f>R53-S53</f>
        <v>3.0769230769230882E-3</v>
      </c>
    </row>
    <row r="54" spans="4:20" x14ac:dyDescent="0.2">
      <c r="D54">
        <v>27</v>
      </c>
      <c r="I54">
        <f t="shared" si="10"/>
        <v>0</v>
      </c>
      <c r="J54" s="5">
        <f t="shared" si="11"/>
        <v>0</v>
      </c>
      <c r="K54" s="5">
        <f t="shared" si="12"/>
        <v>0</v>
      </c>
      <c r="L54" s="5">
        <f t="shared" si="13"/>
        <v>1</v>
      </c>
      <c r="M54" s="5">
        <f t="shared" si="14"/>
        <v>0</v>
      </c>
      <c r="N54" s="5">
        <f t="shared" si="15"/>
        <v>0</v>
      </c>
      <c r="O54" s="5">
        <f t="shared" si="16"/>
        <v>0</v>
      </c>
      <c r="P54" s="5">
        <f t="shared" si="17"/>
        <v>0</v>
      </c>
      <c r="Q54">
        <f t="shared" si="18"/>
        <v>1</v>
      </c>
      <c r="R54" s="6">
        <f>(SUM(Q$27:Q54)-1)/D54</f>
        <v>0.92592592592592593</v>
      </c>
    </row>
    <row r="55" spans="4:20" x14ac:dyDescent="0.2">
      <c r="D55">
        <v>28</v>
      </c>
      <c r="I55">
        <f t="shared" si="10"/>
        <v>0</v>
      </c>
      <c r="J55" s="5">
        <f t="shared" si="11"/>
        <v>0</v>
      </c>
      <c r="K55" s="5">
        <f t="shared" si="12"/>
        <v>0</v>
      </c>
      <c r="L55" s="5">
        <f t="shared" si="13"/>
        <v>1</v>
      </c>
      <c r="M55" s="5">
        <f t="shared" si="14"/>
        <v>0</v>
      </c>
      <c r="N55" s="5">
        <f t="shared" si="15"/>
        <v>0</v>
      </c>
      <c r="O55" s="5">
        <f t="shared" si="16"/>
        <v>0</v>
      </c>
      <c r="P55" s="5">
        <f t="shared" si="17"/>
        <v>0</v>
      </c>
      <c r="Q55">
        <f t="shared" si="18"/>
        <v>1</v>
      </c>
      <c r="R55" s="6">
        <f>(SUM(Q$27:Q55)-1)/D55</f>
        <v>0.9285714285714286</v>
      </c>
    </row>
    <row r="56" spans="4:20" x14ac:dyDescent="0.2">
      <c r="D56">
        <v>29</v>
      </c>
      <c r="I56">
        <f t="shared" si="10"/>
        <v>0</v>
      </c>
      <c r="J56" s="5">
        <f t="shared" si="11"/>
        <v>0</v>
      </c>
      <c r="K56" s="5">
        <f t="shared" si="12"/>
        <v>0</v>
      </c>
      <c r="L56" s="5">
        <f t="shared" si="13"/>
        <v>1</v>
      </c>
      <c r="M56" s="5">
        <f t="shared" si="14"/>
        <v>0</v>
      </c>
      <c r="N56" s="5">
        <f t="shared" si="15"/>
        <v>0</v>
      </c>
      <c r="O56" s="5">
        <f t="shared" si="16"/>
        <v>0</v>
      </c>
      <c r="P56" s="5">
        <f t="shared" si="17"/>
        <v>0</v>
      </c>
      <c r="Q56">
        <f t="shared" si="18"/>
        <v>1</v>
      </c>
      <c r="R56" s="6">
        <f>(SUM(Q$27:Q56)-1)/D56</f>
        <v>0.93103448275862066</v>
      </c>
    </row>
    <row r="57" spans="4:20" x14ac:dyDescent="0.2">
      <c r="D57">
        <v>30</v>
      </c>
      <c r="I57">
        <f t="shared" si="10"/>
        <v>0</v>
      </c>
      <c r="J57" s="5">
        <f t="shared" si="11"/>
        <v>0</v>
      </c>
      <c r="K57" s="5">
        <f t="shared" si="12"/>
        <v>0</v>
      </c>
      <c r="L57" s="5">
        <f t="shared" si="13"/>
        <v>1</v>
      </c>
      <c r="M57" s="5">
        <f t="shared" si="14"/>
        <v>0</v>
      </c>
      <c r="N57" s="5">
        <f t="shared" si="15"/>
        <v>0</v>
      </c>
      <c r="O57" s="5">
        <f t="shared" si="16"/>
        <v>0</v>
      </c>
      <c r="P57" s="5">
        <f t="shared" si="17"/>
        <v>0</v>
      </c>
      <c r="Q57">
        <f t="shared" si="18"/>
        <v>1</v>
      </c>
      <c r="R57" s="6">
        <f>(SUM(Q$27:Q57)-1)/D57</f>
        <v>0.93333333333333335</v>
      </c>
      <c r="S57">
        <v>0.93</v>
      </c>
      <c r="T57" s="6">
        <f>R57-S57</f>
        <v>3.3333333333332993E-3</v>
      </c>
    </row>
    <row r="58" spans="4:20" x14ac:dyDescent="0.2">
      <c r="D58">
        <v>31</v>
      </c>
      <c r="I58">
        <f t="shared" si="10"/>
        <v>0</v>
      </c>
      <c r="J58" s="5">
        <f t="shared" si="11"/>
        <v>0</v>
      </c>
      <c r="K58" s="5">
        <f t="shared" si="12"/>
        <v>0</v>
      </c>
      <c r="L58" s="5">
        <f t="shared" si="13"/>
        <v>1</v>
      </c>
      <c r="M58" s="5">
        <f t="shared" si="14"/>
        <v>0</v>
      </c>
      <c r="N58" s="5">
        <f t="shared" si="15"/>
        <v>0</v>
      </c>
      <c r="O58" s="5">
        <f t="shared" si="16"/>
        <v>0</v>
      </c>
      <c r="P58" s="5">
        <f t="shared" si="17"/>
        <v>0</v>
      </c>
      <c r="Q58">
        <f t="shared" si="18"/>
        <v>1</v>
      </c>
      <c r="R58" s="6">
        <f>(SUM(Q$27:Q58)-1)/D58</f>
        <v>0.93548387096774188</v>
      </c>
    </row>
    <row r="59" spans="4:20" x14ac:dyDescent="0.2">
      <c r="D59">
        <v>32</v>
      </c>
      <c r="I59">
        <f t="shared" si="10"/>
        <v>0</v>
      </c>
      <c r="J59" s="5">
        <f t="shared" si="11"/>
        <v>0</v>
      </c>
      <c r="K59" s="5">
        <f t="shared" si="12"/>
        <v>0</v>
      </c>
      <c r="L59" s="5">
        <f t="shared" si="13"/>
        <v>1</v>
      </c>
      <c r="M59" s="5">
        <f t="shared" si="14"/>
        <v>0</v>
      </c>
      <c r="N59" s="5">
        <f t="shared" si="15"/>
        <v>0</v>
      </c>
      <c r="O59" s="5">
        <f t="shared" si="16"/>
        <v>0</v>
      </c>
      <c r="P59" s="5">
        <f t="shared" si="17"/>
        <v>0</v>
      </c>
      <c r="Q59">
        <f t="shared" si="18"/>
        <v>1</v>
      </c>
      <c r="R59" s="6">
        <f>(SUM(Q$27:Q59)-1)/D59</f>
        <v>0.9375</v>
      </c>
    </row>
    <row r="60" spans="4:20" x14ac:dyDescent="0.2">
      <c r="D60">
        <v>33</v>
      </c>
      <c r="I60">
        <f t="shared" si="10"/>
        <v>0</v>
      </c>
      <c r="J60" s="5">
        <f t="shared" si="11"/>
        <v>0</v>
      </c>
      <c r="K60" s="5">
        <f t="shared" si="12"/>
        <v>0</v>
      </c>
      <c r="L60" s="5">
        <f t="shared" si="13"/>
        <v>1</v>
      </c>
      <c r="M60" s="5">
        <f t="shared" si="14"/>
        <v>0</v>
      </c>
      <c r="N60" s="5">
        <f t="shared" si="15"/>
        <v>0</v>
      </c>
      <c r="O60" s="5">
        <f t="shared" si="16"/>
        <v>0</v>
      </c>
      <c r="P60" s="5">
        <f t="shared" si="17"/>
        <v>0</v>
      </c>
      <c r="Q60">
        <f t="shared" si="18"/>
        <v>1</v>
      </c>
      <c r="R60" s="6">
        <f>(SUM(Q$27:Q60)-1)/D60</f>
        <v>0.93939393939393945</v>
      </c>
      <c r="S60">
        <v>0.94</v>
      </c>
      <c r="T60" s="6">
        <f>R60-S60</f>
        <v>-6.0606060606049894E-4</v>
      </c>
    </row>
    <row r="61" spans="4:20" x14ac:dyDescent="0.2">
      <c r="D61">
        <v>34</v>
      </c>
      <c r="I61">
        <f t="shared" si="10"/>
        <v>0</v>
      </c>
      <c r="J61" s="5">
        <f t="shared" si="11"/>
        <v>0</v>
      </c>
      <c r="K61" s="5">
        <f t="shared" si="12"/>
        <v>0</v>
      </c>
      <c r="L61" s="5">
        <f t="shared" si="13"/>
        <v>0</v>
      </c>
      <c r="M61" s="5">
        <f t="shared" si="14"/>
        <v>1</v>
      </c>
      <c r="N61" s="5">
        <f t="shared" si="15"/>
        <v>0</v>
      </c>
      <c r="O61" s="5">
        <f t="shared" si="16"/>
        <v>0</v>
      </c>
      <c r="P61" s="5">
        <f t="shared" si="17"/>
        <v>0</v>
      </c>
      <c r="Q61">
        <f t="shared" si="18"/>
        <v>1</v>
      </c>
      <c r="R61" s="6">
        <f>(SUM(Q$27:Q61)-1)/D61</f>
        <v>0.94117647058823528</v>
      </c>
      <c r="S61">
        <v>0.94</v>
      </c>
      <c r="T61" s="6">
        <f>R61-S61</f>
        <v>1.1764705882353343E-3</v>
      </c>
    </row>
    <row r="62" spans="4:20" x14ac:dyDescent="0.2">
      <c r="D62">
        <v>35</v>
      </c>
      <c r="I62">
        <f t="shared" si="10"/>
        <v>0</v>
      </c>
      <c r="J62" s="5">
        <f t="shared" si="11"/>
        <v>0</v>
      </c>
      <c r="K62" s="5">
        <f t="shared" si="12"/>
        <v>0</v>
      </c>
      <c r="L62" s="5">
        <f t="shared" si="13"/>
        <v>0</v>
      </c>
      <c r="M62" s="5">
        <f t="shared" si="14"/>
        <v>1</v>
      </c>
      <c r="N62" s="5">
        <f t="shared" si="15"/>
        <v>0</v>
      </c>
      <c r="O62" s="5">
        <f t="shared" si="16"/>
        <v>0</v>
      </c>
      <c r="P62" s="5">
        <f t="shared" si="17"/>
        <v>0</v>
      </c>
      <c r="Q62">
        <f t="shared" si="18"/>
        <v>1</v>
      </c>
      <c r="R62" s="6">
        <f>(SUM(Q$27:Q62)-1)/D62</f>
        <v>0.94285714285714284</v>
      </c>
    </row>
    <row r="63" spans="4:20" x14ac:dyDescent="0.2">
      <c r="D63">
        <v>36</v>
      </c>
      <c r="I63">
        <f t="shared" si="10"/>
        <v>0</v>
      </c>
      <c r="J63" s="5">
        <f t="shared" si="11"/>
        <v>0</v>
      </c>
      <c r="K63" s="5">
        <f t="shared" si="12"/>
        <v>0</v>
      </c>
      <c r="L63" s="5">
        <f t="shared" si="13"/>
        <v>0</v>
      </c>
      <c r="M63" s="5">
        <f t="shared" si="14"/>
        <v>1</v>
      </c>
      <c r="N63" s="5">
        <f t="shared" si="15"/>
        <v>0</v>
      </c>
      <c r="O63" s="5">
        <f t="shared" si="16"/>
        <v>0</v>
      </c>
      <c r="P63" s="5">
        <f t="shared" si="17"/>
        <v>0</v>
      </c>
      <c r="Q63">
        <f t="shared" si="18"/>
        <v>1</v>
      </c>
      <c r="R63" s="6">
        <f>(SUM(Q$27:Q63)-1)/D63</f>
        <v>0.94444444444444442</v>
      </c>
    </row>
    <row r="64" spans="4:20" x14ac:dyDescent="0.2">
      <c r="D64">
        <v>37</v>
      </c>
      <c r="I64">
        <f t="shared" si="10"/>
        <v>0</v>
      </c>
      <c r="J64" s="5">
        <f t="shared" si="11"/>
        <v>0</v>
      </c>
      <c r="K64" s="5">
        <f t="shared" si="12"/>
        <v>0</v>
      </c>
      <c r="L64" s="5">
        <f t="shared" si="13"/>
        <v>0</v>
      </c>
      <c r="M64" s="5">
        <f t="shared" si="14"/>
        <v>1</v>
      </c>
      <c r="N64" s="5">
        <f t="shared" si="15"/>
        <v>0</v>
      </c>
      <c r="O64" s="5">
        <f t="shared" si="16"/>
        <v>0</v>
      </c>
      <c r="P64" s="5">
        <f t="shared" si="17"/>
        <v>0</v>
      </c>
      <c r="Q64">
        <f t="shared" si="18"/>
        <v>1</v>
      </c>
      <c r="R64" s="6">
        <f>(SUM(Q$27:Q64)-1)/D64</f>
        <v>0.94594594594594594</v>
      </c>
    </row>
    <row r="65" spans="4:20" x14ac:dyDescent="0.2">
      <c r="D65">
        <v>38</v>
      </c>
      <c r="I65">
        <f t="shared" si="10"/>
        <v>0</v>
      </c>
      <c r="J65" s="5">
        <f t="shared" si="11"/>
        <v>0</v>
      </c>
      <c r="K65" s="5">
        <f t="shared" si="12"/>
        <v>0</v>
      </c>
      <c r="L65" s="5">
        <f t="shared" si="13"/>
        <v>0</v>
      </c>
      <c r="M65" s="5">
        <f t="shared" si="14"/>
        <v>1</v>
      </c>
      <c r="N65" s="5">
        <f t="shared" si="15"/>
        <v>0</v>
      </c>
      <c r="O65" s="5">
        <f t="shared" si="16"/>
        <v>0</v>
      </c>
      <c r="P65" s="5">
        <f t="shared" si="17"/>
        <v>0</v>
      </c>
      <c r="Q65">
        <f t="shared" si="18"/>
        <v>1</v>
      </c>
      <c r="R65" s="6">
        <f>(SUM(Q$27:Q65)-1)/D65</f>
        <v>0.94736842105263153</v>
      </c>
    </row>
    <row r="66" spans="4:20" x14ac:dyDescent="0.2">
      <c r="D66">
        <v>39</v>
      </c>
      <c r="I66">
        <f t="shared" si="10"/>
        <v>0</v>
      </c>
      <c r="J66" s="5">
        <f t="shared" si="11"/>
        <v>0</v>
      </c>
      <c r="K66" s="5">
        <f t="shared" si="12"/>
        <v>0</v>
      </c>
      <c r="L66" s="5">
        <f t="shared" si="13"/>
        <v>0</v>
      </c>
      <c r="M66" s="5">
        <f t="shared" si="14"/>
        <v>1</v>
      </c>
      <c r="N66" s="5">
        <f t="shared" si="15"/>
        <v>0</v>
      </c>
      <c r="O66" s="5">
        <f t="shared" si="16"/>
        <v>0</v>
      </c>
      <c r="P66" s="5">
        <f t="shared" si="17"/>
        <v>0</v>
      </c>
      <c r="Q66">
        <f t="shared" si="18"/>
        <v>1</v>
      </c>
      <c r="R66" s="6">
        <f>(SUM(Q$27:Q66)-1)/D66</f>
        <v>0.94871794871794868</v>
      </c>
    </row>
    <row r="67" spans="4:20" x14ac:dyDescent="0.2">
      <c r="D67">
        <v>40</v>
      </c>
      <c r="I67">
        <f t="shared" si="10"/>
        <v>0</v>
      </c>
      <c r="J67" s="5">
        <f t="shared" si="11"/>
        <v>0</v>
      </c>
      <c r="K67" s="5">
        <f t="shared" si="12"/>
        <v>0</v>
      </c>
      <c r="L67" s="5">
        <f t="shared" si="13"/>
        <v>0</v>
      </c>
      <c r="M67" s="5">
        <f t="shared" si="14"/>
        <v>1</v>
      </c>
      <c r="N67" s="5">
        <f t="shared" si="15"/>
        <v>0</v>
      </c>
      <c r="O67" s="5">
        <f t="shared" si="16"/>
        <v>0</v>
      </c>
      <c r="P67" s="5">
        <f t="shared" si="17"/>
        <v>0</v>
      </c>
      <c r="Q67">
        <f t="shared" si="18"/>
        <v>1</v>
      </c>
      <c r="R67" s="6">
        <f>(SUM(Q$27:Q67)-1)/D67</f>
        <v>0.95</v>
      </c>
    </row>
    <row r="68" spans="4:20" x14ac:dyDescent="0.2">
      <c r="D68">
        <v>41</v>
      </c>
      <c r="I68">
        <f t="shared" si="10"/>
        <v>0</v>
      </c>
      <c r="J68" s="5">
        <f t="shared" si="11"/>
        <v>0</v>
      </c>
      <c r="K68" s="5">
        <f t="shared" si="12"/>
        <v>0</v>
      </c>
      <c r="L68" s="5">
        <f t="shared" si="13"/>
        <v>0</v>
      </c>
      <c r="M68" s="5">
        <f t="shared" si="14"/>
        <v>1</v>
      </c>
      <c r="N68" s="5">
        <f t="shared" si="15"/>
        <v>0</v>
      </c>
      <c r="O68" s="5">
        <f t="shared" si="16"/>
        <v>0</v>
      </c>
      <c r="P68" s="5">
        <f t="shared" si="17"/>
        <v>0</v>
      </c>
      <c r="Q68">
        <f t="shared" si="18"/>
        <v>1</v>
      </c>
      <c r="R68" s="6">
        <f>(SUM(Q$27:Q68)-1)/D68</f>
        <v>0.95121951219512191</v>
      </c>
    </row>
    <row r="69" spans="4:20" x14ac:dyDescent="0.2">
      <c r="D69">
        <v>42</v>
      </c>
      <c r="I69">
        <f t="shared" si="10"/>
        <v>0</v>
      </c>
      <c r="J69" s="5">
        <f t="shared" si="11"/>
        <v>0</v>
      </c>
      <c r="K69" s="5">
        <f t="shared" si="12"/>
        <v>0</v>
      </c>
      <c r="L69" s="5">
        <f t="shared" si="13"/>
        <v>0</v>
      </c>
      <c r="M69" s="5">
        <f t="shared" si="14"/>
        <v>0</v>
      </c>
      <c r="N69" s="5">
        <f t="shared" si="15"/>
        <v>1</v>
      </c>
      <c r="O69" s="5">
        <f t="shared" si="16"/>
        <v>0</v>
      </c>
      <c r="P69" s="5">
        <f t="shared" si="17"/>
        <v>0</v>
      </c>
      <c r="Q69">
        <f t="shared" si="18"/>
        <v>1</v>
      </c>
      <c r="R69" s="6">
        <f>(SUM(Q$27:Q69)-1)/D69</f>
        <v>0.95238095238095233</v>
      </c>
      <c r="S69">
        <v>0.95</v>
      </c>
      <c r="T69" s="6">
        <f>R69-S69</f>
        <v>2.3809523809523725E-3</v>
      </c>
    </row>
    <row r="70" spans="4:20" x14ac:dyDescent="0.2">
      <c r="D70">
        <v>43</v>
      </c>
      <c r="I70">
        <f t="shared" si="10"/>
        <v>0</v>
      </c>
      <c r="J70" s="5">
        <f t="shared" si="11"/>
        <v>0</v>
      </c>
      <c r="K70" s="5">
        <f t="shared" si="12"/>
        <v>0</v>
      </c>
      <c r="L70" s="5">
        <f t="shared" si="13"/>
        <v>0</v>
      </c>
      <c r="M70" s="5">
        <f t="shared" si="14"/>
        <v>0</v>
      </c>
      <c r="N70" s="5">
        <f t="shared" si="15"/>
        <v>1</v>
      </c>
      <c r="O70" s="5">
        <f t="shared" si="16"/>
        <v>0</v>
      </c>
      <c r="P70" s="5">
        <f t="shared" si="17"/>
        <v>0</v>
      </c>
      <c r="Q70">
        <f t="shared" si="18"/>
        <v>1</v>
      </c>
      <c r="R70" s="6">
        <f>(SUM(Q$27:Q70)-1)/D70</f>
        <v>0.95348837209302328</v>
      </c>
    </row>
    <row r="71" spans="4:20" x14ac:dyDescent="0.2">
      <c r="D71">
        <v>44</v>
      </c>
      <c r="I71">
        <f t="shared" si="10"/>
        <v>0</v>
      </c>
      <c r="J71" s="5">
        <f t="shared" si="11"/>
        <v>0</v>
      </c>
      <c r="K71" s="5">
        <f t="shared" si="12"/>
        <v>0</v>
      </c>
      <c r="L71" s="5">
        <f t="shared" si="13"/>
        <v>0</v>
      </c>
      <c r="M71" s="5">
        <f t="shared" si="14"/>
        <v>0</v>
      </c>
      <c r="N71" s="5">
        <f t="shared" si="15"/>
        <v>1</v>
      </c>
      <c r="O71" s="5">
        <f t="shared" si="16"/>
        <v>0</v>
      </c>
      <c r="P71" s="5">
        <f t="shared" si="17"/>
        <v>0</v>
      </c>
      <c r="Q71">
        <f t="shared" si="18"/>
        <v>1</v>
      </c>
      <c r="R71" s="6">
        <f>(SUM(Q$27:Q71)-1)/D71</f>
        <v>0.95454545454545459</v>
      </c>
    </row>
    <row r="72" spans="4:20" x14ac:dyDescent="0.2">
      <c r="D72">
        <v>45</v>
      </c>
      <c r="I72">
        <f t="shared" si="10"/>
        <v>0</v>
      </c>
      <c r="J72" s="5">
        <f t="shared" si="11"/>
        <v>0</v>
      </c>
      <c r="K72" s="5">
        <f t="shared" si="12"/>
        <v>0</v>
      </c>
      <c r="L72" s="5">
        <f t="shared" si="13"/>
        <v>0</v>
      </c>
      <c r="M72" s="5">
        <f t="shared" si="14"/>
        <v>0</v>
      </c>
      <c r="N72" s="5">
        <f t="shared" si="15"/>
        <v>1</v>
      </c>
      <c r="O72" s="5">
        <f t="shared" si="16"/>
        <v>0</v>
      </c>
      <c r="P72" s="5">
        <f t="shared" si="17"/>
        <v>0</v>
      </c>
      <c r="Q72">
        <f t="shared" si="18"/>
        <v>1</v>
      </c>
      <c r="R72" s="6">
        <f>(SUM(Q$27:Q72)-1)/D72</f>
        <v>0.9555555555555556</v>
      </c>
    </row>
    <row r="73" spans="4:20" x14ac:dyDescent="0.2">
      <c r="D73">
        <v>46</v>
      </c>
      <c r="I73">
        <f t="shared" si="10"/>
        <v>0</v>
      </c>
      <c r="J73" s="5">
        <f t="shared" si="11"/>
        <v>0</v>
      </c>
      <c r="K73" s="5">
        <f t="shared" si="12"/>
        <v>0</v>
      </c>
      <c r="L73" s="5">
        <f t="shared" si="13"/>
        <v>0</v>
      </c>
      <c r="M73" s="5">
        <f t="shared" si="14"/>
        <v>0</v>
      </c>
      <c r="N73" s="5">
        <f t="shared" si="15"/>
        <v>1</v>
      </c>
      <c r="O73" s="5">
        <f t="shared" si="16"/>
        <v>0</v>
      </c>
      <c r="P73" s="5">
        <f t="shared" si="17"/>
        <v>0</v>
      </c>
      <c r="Q73">
        <f t="shared" si="18"/>
        <v>1</v>
      </c>
      <c r="R73" s="6">
        <f>(SUM(Q$27:Q73)-1)/D73</f>
        <v>0.95652173913043481</v>
      </c>
    </row>
    <row r="74" spans="4:20" x14ac:dyDescent="0.2">
      <c r="D74">
        <v>47</v>
      </c>
      <c r="I74">
        <f t="shared" si="10"/>
        <v>0</v>
      </c>
      <c r="J74" s="5">
        <f t="shared" si="11"/>
        <v>0</v>
      </c>
      <c r="K74" s="5">
        <f t="shared" si="12"/>
        <v>0</v>
      </c>
      <c r="L74" s="5">
        <f t="shared" si="13"/>
        <v>0</v>
      </c>
      <c r="M74" s="5">
        <f t="shared" si="14"/>
        <v>0</v>
      </c>
      <c r="N74" s="5">
        <f t="shared" si="15"/>
        <v>0</v>
      </c>
      <c r="O74" s="5">
        <f t="shared" si="16"/>
        <v>0</v>
      </c>
      <c r="P74" s="5">
        <f t="shared" si="17"/>
        <v>0</v>
      </c>
      <c r="Q74">
        <f t="shared" si="18"/>
        <v>0</v>
      </c>
      <c r="R74" s="6">
        <f>(SUM(Q$27:Q74)-1)/D74</f>
        <v>0.93617021276595747</v>
      </c>
      <c r="S74">
        <v>0.94</v>
      </c>
      <c r="T74" s="6">
        <f>R74-S74</f>
        <v>-3.829787234042481E-3</v>
      </c>
    </row>
    <row r="75" spans="4:20" x14ac:dyDescent="0.2">
      <c r="D75">
        <v>48</v>
      </c>
      <c r="I75">
        <f t="shared" si="10"/>
        <v>0</v>
      </c>
      <c r="J75" s="5">
        <f t="shared" si="11"/>
        <v>0</v>
      </c>
      <c r="K75" s="5">
        <f t="shared" si="12"/>
        <v>0</v>
      </c>
      <c r="L75" s="5">
        <f t="shared" si="13"/>
        <v>0</v>
      </c>
      <c r="M75" s="5">
        <f t="shared" si="14"/>
        <v>0</v>
      </c>
      <c r="N75" s="5">
        <f t="shared" si="15"/>
        <v>0</v>
      </c>
      <c r="O75" s="5">
        <f t="shared" si="16"/>
        <v>1</v>
      </c>
      <c r="P75" s="5">
        <f t="shared" si="17"/>
        <v>0</v>
      </c>
      <c r="Q75">
        <f t="shared" si="18"/>
        <v>1</v>
      </c>
      <c r="R75" s="6">
        <f>(SUM(Q$27:Q75)-1)/D75</f>
        <v>0.9375</v>
      </c>
      <c r="S75">
        <v>0.94</v>
      </c>
      <c r="T75" s="6">
        <f>R75-S75</f>
        <v>-2.4999999999999467E-3</v>
      </c>
    </row>
    <row r="76" spans="4:20" x14ac:dyDescent="0.2">
      <c r="D76">
        <v>49</v>
      </c>
      <c r="I76">
        <f t="shared" si="10"/>
        <v>0</v>
      </c>
      <c r="J76" s="5">
        <f t="shared" si="11"/>
        <v>0</v>
      </c>
      <c r="K76" s="5">
        <f t="shared" si="12"/>
        <v>0</v>
      </c>
      <c r="L76" s="5">
        <f t="shared" si="13"/>
        <v>0</v>
      </c>
      <c r="M76" s="5">
        <f t="shared" si="14"/>
        <v>0</v>
      </c>
      <c r="N76" s="5">
        <f t="shared" si="15"/>
        <v>0</v>
      </c>
      <c r="O76" s="5">
        <f t="shared" si="16"/>
        <v>1</v>
      </c>
      <c r="P76" s="5">
        <f t="shared" si="17"/>
        <v>0</v>
      </c>
      <c r="Q76">
        <f t="shared" si="18"/>
        <v>1</v>
      </c>
      <c r="R76" s="6">
        <f>(SUM(Q$27:Q76)-1)/D76</f>
        <v>0.93877551020408168</v>
      </c>
    </row>
    <row r="77" spans="4:20" x14ac:dyDescent="0.2">
      <c r="D77">
        <v>50</v>
      </c>
      <c r="I77">
        <f t="shared" si="10"/>
        <v>0</v>
      </c>
      <c r="J77" s="5">
        <f t="shared" si="11"/>
        <v>0</v>
      </c>
      <c r="K77" s="5">
        <f t="shared" si="12"/>
        <v>0</v>
      </c>
      <c r="L77" s="5">
        <f t="shared" si="13"/>
        <v>0</v>
      </c>
      <c r="M77" s="5">
        <f t="shared" si="14"/>
        <v>0</v>
      </c>
      <c r="N77" s="5">
        <f t="shared" si="15"/>
        <v>0</v>
      </c>
      <c r="O77" s="5">
        <f t="shared" si="16"/>
        <v>1</v>
      </c>
      <c r="P77" s="5">
        <f t="shared" si="17"/>
        <v>0</v>
      </c>
      <c r="Q77">
        <f t="shared" si="18"/>
        <v>1</v>
      </c>
      <c r="R77" s="6">
        <f>(SUM(Q$27:Q77)-1)/D77</f>
        <v>0.94</v>
      </c>
    </row>
    <row r="78" spans="4:20" x14ac:dyDescent="0.2">
      <c r="D78">
        <v>51</v>
      </c>
      <c r="I78">
        <f t="shared" si="10"/>
        <v>0</v>
      </c>
      <c r="J78" s="5">
        <f t="shared" si="11"/>
        <v>0</v>
      </c>
      <c r="K78" s="5">
        <f t="shared" si="12"/>
        <v>0</v>
      </c>
      <c r="L78" s="5">
        <f t="shared" si="13"/>
        <v>0</v>
      </c>
      <c r="M78" s="5">
        <f t="shared" si="14"/>
        <v>0</v>
      </c>
      <c r="N78" s="5">
        <f t="shared" si="15"/>
        <v>0</v>
      </c>
      <c r="O78" s="5">
        <f t="shared" si="16"/>
        <v>1</v>
      </c>
      <c r="P78" s="5">
        <f t="shared" si="17"/>
        <v>0</v>
      </c>
      <c r="Q78">
        <f t="shared" si="18"/>
        <v>1</v>
      </c>
      <c r="R78" s="6">
        <f>(SUM(Q$27:Q78)-1)/D78</f>
        <v>0.94117647058823528</v>
      </c>
    </row>
    <row r="79" spans="4:20" x14ac:dyDescent="0.2">
      <c r="D79">
        <v>52</v>
      </c>
      <c r="I79">
        <f t="shared" si="10"/>
        <v>0</v>
      </c>
      <c r="J79" s="5">
        <f t="shared" si="11"/>
        <v>0</v>
      </c>
      <c r="K79" s="5">
        <f t="shared" si="12"/>
        <v>0</v>
      </c>
      <c r="L79" s="5">
        <f t="shared" si="13"/>
        <v>0</v>
      </c>
      <c r="M79" s="5">
        <f t="shared" si="14"/>
        <v>0</v>
      </c>
      <c r="N79" s="5">
        <f t="shared" si="15"/>
        <v>0</v>
      </c>
      <c r="O79" s="5">
        <f t="shared" si="16"/>
        <v>1</v>
      </c>
      <c r="P79" s="5">
        <f t="shared" si="17"/>
        <v>0</v>
      </c>
      <c r="Q79">
        <f t="shared" si="18"/>
        <v>1</v>
      </c>
      <c r="R79" s="6">
        <f>(SUM(Q$27:Q79)-1)/D79</f>
        <v>0.94230769230769229</v>
      </c>
    </row>
    <row r="80" spans="4:20" x14ac:dyDescent="0.2">
      <c r="D80">
        <v>53</v>
      </c>
      <c r="I80">
        <f t="shared" si="10"/>
        <v>0</v>
      </c>
      <c r="J80" s="5">
        <f t="shared" si="11"/>
        <v>0</v>
      </c>
      <c r="K80" s="5">
        <f t="shared" si="12"/>
        <v>0</v>
      </c>
      <c r="L80" s="5">
        <f t="shared" si="13"/>
        <v>0</v>
      </c>
      <c r="M80" s="5">
        <f t="shared" si="14"/>
        <v>0</v>
      </c>
      <c r="N80" s="5">
        <f t="shared" si="15"/>
        <v>0</v>
      </c>
      <c r="O80" s="5">
        <f t="shared" si="16"/>
        <v>1</v>
      </c>
      <c r="P80" s="5">
        <f t="shared" si="17"/>
        <v>0</v>
      </c>
      <c r="Q80">
        <f t="shared" si="18"/>
        <v>1</v>
      </c>
      <c r="R80" s="6">
        <f>(SUM(Q$27:Q80)-1)/D80</f>
        <v>0.94339622641509435</v>
      </c>
    </row>
    <row r="81" spans="4:20" x14ac:dyDescent="0.2">
      <c r="D81">
        <v>54</v>
      </c>
      <c r="I81">
        <f t="shared" si="10"/>
        <v>0</v>
      </c>
      <c r="J81" s="5">
        <f t="shared" si="11"/>
        <v>0</v>
      </c>
      <c r="K81" s="5">
        <f t="shared" si="12"/>
        <v>0</v>
      </c>
      <c r="L81" s="5">
        <f t="shared" si="13"/>
        <v>0</v>
      </c>
      <c r="M81" s="5">
        <f t="shared" si="14"/>
        <v>0</v>
      </c>
      <c r="N81" s="5">
        <f t="shared" si="15"/>
        <v>0</v>
      </c>
      <c r="O81" s="5">
        <f t="shared" si="16"/>
        <v>1</v>
      </c>
      <c r="P81" s="5">
        <f t="shared" si="17"/>
        <v>0</v>
      </c>
      <c r="Q81">
        <f t="shared" si="18"/>
        <v>1</v>
      </c>
      <c r="R81" s="6">
        <f>(SUM(Q$27:Q81)-1)/D81</f>
        <v>0.94444444444444442</v>
      </c>
    </row>
    <row r="82" spans="4:20" x14ac:dyDescent="0.2">
      <c r="D82">
        <v>55</v>
      </c>
      <c r="I82">
        <f t="shared" si="10"/>
        <v>0</v>
      </c>
      <c r="J82" s="5">
        <f t="shared" si="11"/>
        <v>0</v>
      </c>
      <c r="K82" s="5">
        <f t="shared" si="12"/>
        <v>0</v>
      </c>
      <c r="L82" s="5">
        <f t="shared" si="13"/>
        <v>0</v>
      </c>
      <c r="M82" s="5">
        <f t="shared" si="14"/>
        <v>0</v>
      </c>
      <c r="N82" s="5">
        <f t="shared" si="15"/>
        <v>0</v>
      </c>
      <c r="O82" s="5">
        <f t="shared" si="16"/>
        <v>1</v>
      </c>
      <c r="P82" s="5">
        <f t="shared" si="17"/>
        <v>0</v>
      </c>
      <c r="Q82">
        <f t="shared" si="18"/>
        <v>1</v>
      </c>
      <c r="R82" s="6">
        <f>(SUM(Q$27:Q82)-1)/D82</f>
        <v>0.94545454545454544</v>
      </c>
    </row>
    <row r="83" spans="4:20" x14ac:dyDescent="0.2">
      <c r="D83">
        <v>56</v>
      </c>
      <c r="I83">
        <f t="shared" si="10"/>
        <v>0</v>
      </c>
      <c r="J83" s="5">
        <f t="shared" si="11"/>
        <v>0</v>
      </c>
      <c r="K83" s="5">
        <f t="shared" si="12"/>
        <v>0</v>
      </c>
      <c r="L83" s="5">
        <f t="shared" si="13"/>
        <v>0</v>
      </c>
      <c r="M83" s="5">
        <f t="shared" si="14"/>
        <v>0</v>
      </c>
      <c r="N83" s="5">
        <f t="shared" si="15"/>
        <v>0</v>
      </c>
      <c r="O83" s="5">
        <f t="shared" si="16"/>
        <v>1</v>
      </c>
      <c r="P83" s="5">
        <f t="shared" si="17"/>
        <v>0</v>
      </c>
      <c r="Q83">
        <f t="shared" si="18"/>
        <v>1</v>
      </c>
      <c r="R83" s="6">
        <f>(SUM(Q$27:Q83)-1)/D83</f>
        <v>0.9464285714285714</v>
      </c>
    </row>
    <row r="84" spans="4:20" x14ac:dyDescent="0.2">
      <c r="D84">
        <v>57</v>
      </c>
      <c r="I84">
        <f t="shared" si="10"/>
        <v>0</v>
      </c>
      <c r="J84" s="5">
        <f t="shared" si="11"/>
        <v>0</v>
      </c>
      <c r="K84" s="5">
        <f t="shared" si="12"/>
        <v>0</v>
      </c>
      <c r="L84" s="5">
        <f t="shared" si="13"/>
        <v>0</v>
      </c>
      <c r="M84" s="5">
        <f t="shared" si="14"/>
        <v>0</v>
      </c>
      <c r="N84" s="5">
        <f t="shared" si="15"/>
        <v>0</v>
      </c>
      <c r="O84" s="5">
        <f t="shared" si="16"/>
        <v>1</v>
      </c>
      <c r="P84" s="5">
        <f t="shared" si="17"/>
        <v>0</v>
      </c>
      <c r="Q84">
        <f t="shared" si="18"/>
        <v>1</v>
      </c>
      <c r="R84" s="6">
        <f>(SUM(Q$27:Q84)-1)/D84</f>
        <v>0.94736842105263153</v>
      </c>
      <c r="S84">
        <v>0.95</v>
      </c>
      <c r="T84" s="6">
        <f>R84-S84</f>
        <v>-2.6315789473684292E-3</v>
      </c>
    </row>
    <row r="85" spans="4:20" x14ac:dyDescent="0.2">
      <c r="D85">
        <v>58</v>
      </c>
      <c r="I85">
        <f t="shared" si="10"/>
        <v>0</v>
      </c>
      <c r="J85" s="5">
        <f t="shared" si="11"/>
        <v>0</v>
      </c>
      <c r="K85" s="5">
        <f t="shared" si="12"/>
        <v>0</v>
      </c>
      <c r="L85" s="5">
        <f t="shared" si="13"/>
        <v>0</v>
      </c>
      <c r="M85" s="5">
        <f t="shared" si="14"/>
        <v>0</v>
      </c>
      <c r="N85" s="5">
        <f t="shared" si="15"/>
        <v>0</v>
      </c>
      <c r="O85" s="5">
        <f t="shared" si="16"/>
        <v>0</v>
      </c>
      <c r="P85" s="5">
        <f t="shared" si="17"/>
        <v>1</v>
      </c>
      <c r="Q85">
        <f t="shared" si="18"/>
        <v>1</v>
      </c>
      <c r="R85" s="6">
        <f>(SUM(Q$27:Q85)-1)/D85</f>
        <v>0.94827586206896552</v>
      </c>
      <c r="S85">
        <v>0.95</v>
      </c>
      <c r="T85" s="6">
        <f>R85-S85</f>
        <v>-1.7241379310344307E-3</v>
      </c>
    </row>
    <row r="86" spans="4:20" x14ac:dyDescent="0.2">
      <c r="D86">
        <v>59</v>
      </c>
      <c r="I86">
        <f t="shared" si="10"/>
        <v>0</v>
      </c>
      <c r="J86" s="5">
        <f t="shared" si="11"/>
        <v>0</v>
      </c>
      <c r="K86" s="5">
        <f t="shared" si="12"/>
        <v>0</v>
      </c>
      <c r="L86" s="5">
        <f t="shared" si="13"/>
        <v>0</v>
      </c>
      <c r="M86" s="5">
        <f t="shared" si="14"/>
        <v>0</v>
      </c>
      <c r="N86" s="5">
        <f t="shared" si="15"/>
        <v>0</v>
      </c>
      <c r="O86" s="5">
        <f t="shared" si="16"/>
        <v>0</v>
      </c>
      <c r="P86" s="5">
        <f t="shared" si="17"/>
        <v>1</v>
      </c>
      <c r="Q86">
        <f t="shared" si="18"/>
        <v>1</v>
      </c>
      <c r="R86" s="6">
        <f>(SUM(Q$27:Q86)-1)/D86</f>
        <v>0.94915254237288138</v>
      </c>
      <c r="T86" s="6"/>
    </row>
    <row r="87" spans="4:20" x14ac:dyDescent="0.2">
      <c r="D87">
        <v>60</v>
      </c>
      <c r="I87">
        <f t="shared" si="10"/>
        <v>0</v>
      </c>
      <c r="J87" s="5">
        <f t="shared" si="11"/>
        <v>0</v>
      </c>
      <c r="K87" s="5">
        <f t="shared" si="12"/>
        <v>0</v>
      </c>
      <c r="L87" s="5">
        <f t="shared" si="13"/>
        <v>0</v>
      </c>
      <c r="M87" s="5">
        <f t="shared" si="14"/>
        <v>0</v>
      </c>
      <c r="N87" s="5">
        <f t="shared" si="15"/>
        <v>0</v>
      </c>
      <c r="O87" s="5">
        <f t="shared" si="16"/>
        <v>0</v>
      </c>
      <c r="P87" s="5">
        <f t="shared" si="17"/>
        <v>1</v>
      </c>
      <c r="Q87">
        <f t="shared" si="18"/>
        <v>1</v>
      </c>
      <c r="R87" s="6">
        <f>(SUM(Q$27:Q87)-1)/D87</f>
        <v>0.95</v>
      </c>
    </row>
  </sheetData>
  <mergeCells count="1">
    <mergeCell ref="A1:H5"/>
  </mergeCells>
  <phoneticPr fontId="3"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HW1</vt:lpstr>
      <vt:lpstr>Verify_From_Class_notes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Berger, Glenn (CIV)</dc:creator>
  <cp:lastModifiedBy>Berger, Glenn (CIV)</cp:lastModifiedBy>
  <dcterms:created xsi:type="dcterms:W3CDTF">2026-01-08T22:17:36Z</dcterms:created>
  <dcterms:modified xsi:type="dcterms:W3CDTF">2026-01-14T23:56:29Z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bbd4a6-dc2f-44d9-ad2c-c28d4679873f_Enabled">
    <vt:lpwstr>true</vt:lpwstr>
  </property>
  <property fmtid="{D5CDD505-2E9C-101B-9397-08002B2CF9AE}" pid="3" name="MSIP_Label_acbbd4a6-dc2f-44d9-ad2c-c28d4679873f_SetDate">
    <vt:lpwstr>2026-01-08T22:36:17Z</vt:lpwstr>
  </property>
  <property fmtid="{D5CDD505-2E9C-101B-9397-08002B2CF9AE}" pid="4" name="MSIP_Label_acbbd4a6-dc2f-44d9-ad2c-c28d4679873f_Method">
    <vt:lpwstr>Standard</vt:lpwstr>
  </property>
  <property fmtid="{D5CDD505-2E9C-101B-9397-08002B2CF9AE}" pid="5" name="MSIP_Label_acbbd4a6-dc2f-44d9-ad2c-c28d4679873f_Name">
    <vt:lpwstr>No Label</vt:lpwstr>
  </property>
  <property fmtid="{D5CDD505-2E9C-101B-9397-08002B2CF9AE}" pid="6" name="MSIP_Label_acbbd4a6-dc2f-44d9-ad2c-c28d4679873f_SiteId">
    <vt:lpwstr>6d936231-a517-40ea-9199-f7578963378e</vt:lpwstr>
  </property>
  <property fmtid="{D5CDD505-2E9C-101B-9397-08002B2CF9AE}" pid="7" name="MSIP_Label_acbbd4a6-dc2f-44d9-ad2c-c28d4679873f_ActionId">
    <vt:lpwstr>54f7683a-0ab4-4d68-b05c-f4296140c9d4</vt:lpwstr>
  </property>
  <property fmtid="{D5CDD505-2E9C-101B-9397-08002B2CF9AE}" pid="8" name="MSIP_Label_acbbd4a6-dc2f-44d9-ad2c-c28d4679873f_ContentBits">
    <vt:lpwstr>0</vt:lpwstr>
  </property>
  <property fmtid="{D5CDD505-2E9C-101B-9397-08002B2CF9AE}" pid="9" name="MSIP_Label_acbbd4a6-dc2f-44d9-ad2c-c28d4679873f_Tag">
    <vt:lpwstr>50, 3, 0, 1</vt:lpwstr>
  </property>
</Properties>
</file>