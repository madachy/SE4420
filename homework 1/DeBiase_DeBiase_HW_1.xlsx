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4420 Mod\"/>
    </mc:Choice>
  </mc:AlternateContent>
  <xr:revisionPtr revIDLastSave="0" documentId="13_ncr:1_{35C9300F-641F-450A-8950-EC9D2C44BD3C}" xr6:coauthVersionLast="47" xr6:coauthVersionMax="47" xr10:uidLastSave="{00000000-0000-0000-0000-000000000000}"/>
  <bookViews>
    <workbookView xWindow="-110" yWindow="-110" windowWidth="19420" windowHeight="10300" xr2:uid="{E6436D8D-D790-4355-B45C-B0F7F94DB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L61" i="1"/>
  <c r="D31" i="1"/>
  <c r="K45" i="1"/>
  <c r="K43" i="1"/>
  <c r="K61" i="1" s="1"/>
  <c r="K53" i="1"/>
  <c r="K49" i="1"/>
  <c r="K48" i="1"/>
  <c r="K46" i="1"/>
  <c r="E27" i="1"/>
  <c r="I15" i="1"/>
  <c r="H20" i="1"/>
  <c r="I27" i="1" s="1"/>
  <c r="H19" i="1"/>
  <c r="J20" i="1" s="1"/>
  <c r="H18" i="1"/>
  <c r="J19" i="1" s="1"/>
  <c r="H17" i="1"/>
  <c r="J18" i="1" s="1"/>
  <c r="H16" i="1"/>
  <c r="J17" i="1" s="1"/>
  <c r="E26" i="1" s="1"/>
  <c r="F16" i="1"/>
  <c r="I16" i="1" s="1"/>
  <c r="C6" i="1"/>
  <c r="F32" i="1"/>
  <c r="J27" i="1"/>
  <c r="G27" i="1"/>
  <c r="G26" i="1"/>
  <c r="G25" i="1"/>
  <c r="G24" i="1"/>
  <c r="D6" i="1"/>
  <c r="F17" i="1" l="1"/>
  <c r="F18" i="1" s="1"/>
  <c r="F19" i="1" s="1"/>
  <c r="I19" i="1" s="1"/>
  <c r="F20" i="1" l="1"/>
  <c r="I20" i="1" s="1"/>
  <c r="E24" i="1"/>
  <c r="E25" i="1" s="1"/>
  <c r="I18" i="1"/>
</calcChain>
</file>

<file path=xl/sharedStrings.xml><?xml version="1.0" encoding="utf-8"?>
<sst xmlns="http://schemas.openxmlformats.org/spreadsheetml/2006/main" count="57" uniqueCount="44">
  <si>
    <t>Brian DeBiase</t>
  </si>
  <si>
    <t>SE4420 Winter 2026</t>
  </si>
  <si>
    <t>HW # 1</t>
  </si>
  <si>
    <t>Question 1:</t>
  </si>
  <si>
    <r>
      <t>L</t>
    </r>
    <r>
      <rPr>
        <sz val="12"/>
        <color theme="1"/>
        <rFont val="Times New Roman"/>
        <family val="1"/>
      </rPr>
      <t>̅</t>
    </r>
    <r>
      <rPr>
        <sz val="12"/>
        <color theme="1"/>
        <rFont val="Arial"/>
        <family val="2"/>
      </rPr>
      <t>=</t>
    </r>
  </si>
  <si>
    <t>Question 2:</t>
  </si>
  <si>
    <t>Chopper</t>
  </si>
  <si>
    <t>Service T</t>
  </si>
  <si>
    <t>Clock T</t>
  </si>
  <si>
    <t>Serv Start</t>
  </si>
  <si>
    <t>Serv End</t>
  </si>
  <si>
    <t>Wait T</t>
  </si>
  <si>
    <t>Idle T</t>
  </si>
  <si>
    <t>Que Start</t>
  </si>
  <si>
    <t>Length End</t>
  </si>
  <si>
    <t xml:space="preserve"> </t>
  </si>
  <si>
    <t>[0, 1.4, 2.1, 1.9, 0.2, 1.5]</t>
  </si>
  <si>
    <t>[2.2, 1.2, .3, 2.8, .2, 1.8]</t>
  </si>
  <si>
    <t>Interval Arr Time</t>
  </si>
  <si>
    <t>Min Que Length=</t>
  </si>
  <si>
    <t>Max Que Length=</t>
  </si>
  <si>
    <t>Ave Wait Time Que=</t>
  </si>
  <si>
    <t>Total Mech Idle Time=</t>
  </si>
  <si>
    <t>Resource Utilization=</t>
  </si>
  <si>
    <t>Total Que Time=</t>
  </si>
  <si>
    <t>hours</t>
  </si>
  <si>
    <t xml:space="preserve"> ~83%</t>
  </si>
  <si>
    <t xml:space="preserve">Ship  </t>
  </si>
  <si>
    <t>Interval Arrival</t>
  </si>
  <si>
    <t>Service Time</t>
  </si>
  <si>
    <t>Arrival Time</t>
  </si>
  <si>
    <t>Start Service</t>
  </si>
  <si>
    <t>End Service</t>
  </si>
  <si>
    <t>Idle Time</t>
  </si>
  <si>
    <t>~87.5%</t>
  </si>
  <si>
    <t>(Ships that need service is ten (10).  Total Wait time is 9 days.)</t>
  </si>
  <si>
    <t>Question 3:</t>
  </si>
  <si>
    <t>Question 4:</t>
  </si>
  <si>
    <t>C</t>
  </si>
  <si>
    <t>(Total Time in Use = 20-2.5=17.50)</t>
  </si>
  <si>
    <t>20 days minus idel time of 2.5</t>
  </si>
  <si>
    <t>Utilizatization</t>
  </si>
  <si>
    <t>in days</t>
  </si>
  <si>
    <t>Average Wait Time in days=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</si>
</sst>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3" fillId="0" borderId="1" xfId="0" applyFont="1" applyBorder="1"/>
    <xf numFmtId="0" fontId="0" fillId="0" borderId="0" xfId="0" quotePrefix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0" borderId="0" xfId="0" applyFont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6" xfId="0" applyFont="1" applyBorder="1"/>
    <xf numFmtId="0" fontId="4" fillId="0" borderId="0" xfId="0" applyFont="1" applyAlignment="1">
      <alignment horizontal="right"/>
    </xf>
    <xf numFmtId="0" fontId="4" fillId="0" borderId="7" xfId="0" applyFont="1" applyBorder="1"/>
    <xf numFmtId="0" fontId="4" fillId="0" borderId="10" xfId="0" quotePrefix="1" applyFont="1" applyBorder="1"/>
    <xf numFmtId="0" fontId="4" fillId="0" borderId="1" xfId="0" applyFont="1" applyBorder="1" applyAlignment="1">
      <alignment horizontal="center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00CD-8614-492D-80CE-8019242C1EBB}">
  <dimension ref="A1:L61"/>
  <sheetViews>
    <sheetView tabSelected="1" zoomScale="89" zoomScaleNormal="89" workbookViewId="0">
      <selection activeCell="O37" sqref="O37"/>
    </sheetView>
  </sheetViews>
  <sheetFormatPr defaultRowHeight="15.5" x14ac:dyDescent="0.35"/>
  <cols>
    <col min="1" max="1" width="12.4140625" customWidth="1"/>
    <col min="2" max="2" width="11.58203125" customWidth="1"/>
    <col min="3" max="3" width="16.58203125" customWidth="1"/>
    <col min="4" max="4" width="10.83203125" customWidth="1"/>
    <col min="7" max="7" width="9.75" customWidth="1"/>
    <col min="12" max="12" width="9.58203125" customWidth="1"/>
  </cols>
  <sheetData>
    <row r="1" spans="1:12" x14ac:dyDescent="0.35">
      <c r="A1" t="s">
        <v>0</v>
      </c>
    </row>
    <row r="2" spans="1:12" x14ac:dyDescent="0.35">
      <c r="A2" t="s">
        <v>1</v>
      </c>
    </row>
    <row r="3" spans="1:12" x14ac:dyDescent="0.35">
      <c r="A3" t="s">
        <v>2</v>
      </c>
    </row>
    <row r="5" spans="1:12" ht="16" thickBot="1" x14ac:dyDescent="0.4">
      <c r="A5" s="18" t="s">
        <v>3</v>
      </c>
    </row>
    <row r="6" spans="1:12" ht="16" thickBot="1" x14ac:dyDescent="0.4">
      <c r="B6" s="1" t="s">
        <v>4</v>
      </c>
      <c r="C6" s="2">
        <f>((3*5)+(4*10)+(2*6)+(3*9))/30</f>
        <v>3.1333333333333333</v>
      </c>
      <c r="D6" t="str">
        <f ca="1">_xlfn.FORMULATEXT(C6)</f>
        <v>=((3*5)+(4*10)+(2*6)+(3*9))/30</v>
      </c>
    </row>
    <row r="9" spans="1:12" x14ac:dyDescent="0.35">
      <c r="C9" t="s">
        <v>15</v>
      </c>
      <c r="D9" s="3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</row>
    <row r="10" spans="1:12" x14ac:dyDescent="0.35">
      <c r="A10" s="18" t="s">
        <v>5</v>
      </c>
      <c r="D10" s="3" t="s">
        <v>16</v>
      </c>
    </row>
    <row r="12" spans="1:12" x14ac:dyDescent="0.35">
      <c r="D12" s="3" t="s">
        <v>17</v>
      </c>
    </row>
    <row r="14" spans="1:12" ht="31" x14ac:dyDescent="0.35">
      <c r="C14" s="5" t="s">
        <v>6</v>
      </c>
      <c r="D14" s="5" t="s">
        <v>18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</row>
    <row r="15" spans="1:12" x14ac:dyDescent="0.35">
      <c r="C15" s="6">
        <v>1</v>
      </c>
      <c r="D15" s="6">
        <v>0</v>
      </c>
      <c r="E15" s="6">
        <v>2.2000000000000002</v>
      </c>
      <c r="F15" s="6">
        <v>0</v>
      </c>
      <c r="G15" s="6">
        <v>0</v>
      </c>
      <c r="H15" s="6">
        <v>2.2000000000000002</v>
      </c>
      <c r="I15" s="6">
        <f>G15-F15</f>
        <v>0</v>
      </c>
      <c r="J15" s="6">
        <v>0</v>
      </c>
      <c r="K15" s="6">
        <v>0</v>
      </c>
      <c r="L15" s="6">
        <v>1</v>
      </c>
    </row>
    <row r="16" spans="1:12" x14ac:dyDescent="0.35">
      <c r="C16" s="6">
        <v>2</v>
      </c>
      <c r="D16" s="6">
        <v>1.4</v>
      </c>
      <c r="E16" s="6">
        <v>1.2</v>
      </c>
      <c r="F16" s="6">
        <f>F15+D16</f>
        <v>1.4</v>
      </c>
      <c r="G16" s="6">
        <v>2.2000000000000002</v>
      </c>
      <c r="H16" s="6">
        <f>G16+E16</f>
        <v>3.4000000000000004</v>
      </c>
      <c r="I16" s="6">
        <f t="shared" ref="I16:I20" si="0">G16-F16</f>
        <v>0.80000000000000027</v>
      </c>
      <c r="J16" s="6">
        <v>0</v>
      </c>
      <c r="K16" s="6">
        <v>1</v>
      </c>
      <c r="L16" s="6">
        <v>0</v>
      </c>
    </row>
    <row r="17" spans="1:12" x14ac:dyDescent="0.35">
      <c r="C17" s="6">
        <v>3</v>
      </c>
      <c r="D17" s="6">
        <v>2.1</v>
      </c>
      <c r="E17" s="6">
        <v>0.3</v>
      </c>
      <c r="F17" s="6">
        <f>F16+D17</f>
        <v>3.5</v>
      </c>
      <c r="G17" s="6">
        <v>3.5</v>
      </c>
      <c r="H17" s="6">
        <f>G17+E17</f>
        <v>3.8</v>
      </c>
      <c r="I17" s="6">
        <v>0</v>
      </c>
      <c r="J17" s="6">
        <f>G17-H16</f>
        <v>9.9999999999999645E-2</v>
      </c>
      <c r="K17" s="6">
        <v>0</v>
      </c>
      <c r="L17" s="6">
        <v>0</v>
      </c>
    </row>
    <row r="18" spans="1:12" x14ac:dyDescent="0.35">
      <c r="C18" s="6">
        <v>4</v>
      </c>
      <c r="D18" s="6">
        <v>1.9</v>
      </c>
      <c r="E18" s="6">
        <v>2.8</v>
      </c>
      <c r="F18" s="6">
        <f t="shared" ref="F18:F20" si="1">F17+D18</f>
        <v>5.4</v>
      </c>
      <c r="G18" s="6">
        <v>5.4</v>
      </c>
      <c r="H18" s="6">
        <f>G18+E18</f>
        <v>8.1999999999999993</v>
      </c>
      <c r="I18" s="6">
        <f t="shared" si="0"/>
        <v>0</v>
      </c>
      <c r="J18" s="6">
        <f t="shared" ref="J18:J20" si="2">G18-H17</f>
        <v>1.6000000000000005</v>
      </c>
      <c r="K18" s="6">
        <v>0</v>
      </c>
      <c r="L18" s="6">
        <v>2</v>
      </c>
    </row>
    <row r="19" spans="1:12" x14ac:dyDescent="0.35">
      <c r="C19" s="6">
        <v>5</v>
      </c>
      <c r="D19" s="6">
        <v>0.2</v>
      </c>
      <c r="E19" s="6">
        <v>0.2</v>
      </c>
      <c r="F19" s="6">
        <f t="shared" si="1"/>
        <v>5.6000000000000005</v>
      </c>
      <c r="G19" s="6">
        <v>8.1999999999999993</v>
      </c>
      <c r="H19" s="6">
        <f>G19+E19</f>
        <v>8.3999999999999986</v>
      </c>
      <c r="I19" s="6">
        <f t="shared" si="0"/>
        <v>2.5999999999999988</v>
      </c>
      <c r="J19" s="6">
        <f t="shared" si="2"/>
        <v>0</v>
      </c>
      <c r="K19" s="6">
        <v>2</v>
      </c>
      <c r="L19" s="6">
        <v>1</v>
      </c>
    </row>
    <row r="20" spans="1:12" x14ac:dyDescent="0.35">
      <c r="C20" s="6">
        <v>6</v>
      </c>
      <c r="D20" s="6">
        <v>1.5</v>
      </c>
      <c r="E20" s="6">
        <v>1.8</v>
      </c>
      <c r="F20" s="6">
        <f t="shared" si="1"/>
        <v>7.1000000000000005</v>
      </c>
      <c r="G20" s="6">
        <v>8.4</v>
      </c>
      <c r="H20" s="6">
        <f>G20+E20</f>
        <v>10.200000000000001</v>
      </c>
      <c r="I20" s="6">
        <f t="shared" si="0"/>
        <v>1.2999999999999998</v>
      </c>
      <c r="J20" s="6">
        <f t="shared" si="2"/>
        <v>0</v>
      </c>
      <c r="K20" s="6">
        <v>1</v>
      </c>
      <c r="L20" s="6">
        <v>0</v>
      </c>
    </row>
    <row r="21" spans="1:12" ht="16" thickBot="1" x14ac:dyDescent="0.4"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5">
      <c r="C22" s="19" t="s">
        <v>19</v>
      </c>
      <c r="D22" s="13"/>
      <c r="E22" s="20">
        <v>0</v>
      </c>
      <c r="F22" s="14"/>
    </row>
    <row r="23" spans="1:12" x14ac:dyDescent="0.35">
      <c r="C23" s="21" t="s">
        <v>20</v>
      </c>
      <c r="D23" s="8"/>
      <c r="E23" s="22">
        <v>2</v>
      </c>
      <c r="F23" s="23"/>
    </row>
    <row r="24" spans="1:12" x14ac:dyDescent="0.35">
      <c r="C24" s="21" t="s">
        <v>24</v>
      </c>
      <c r="D24" s="8"/>
      <c r="E24" s="22">
        <f>I16+I19+I20</f>
        <v>4.6999999999999993</v>
      </c>
      <c r="F24" s="23" t="s">
        <v>25</v>
      </c>
      <c r="G24" t="str">
        <f ca="1">_xlfn.FORMULATEXT(E24)</f>
        <v>=I16+I19+I20</v>
      </c>
    </row>
    <row r="25" spans="1:12" x14ac:dyDescent="0.35">
      <c r="C25" s="21" t="s">
        <v>21</v>
      </c>
      <c r="D25" s="8"/>
      <c r="E25" s="8">
        <f>E24/6</f>
        <v>0.78333333333333321</v>
      </c>
      <c r="F25" s="23" t="s">
        <v>25</v>
      </c>
      <c r="G25" t="str">
        <f ca="1">_xlfn.FORMULATEXT(E25)</f>
        <v>=E24/6</v>
      </c>
    </row>
    <row r="26" spans="1:12" x14ac:dyDescent="0.35">
      <c r="C26" s="21" t="s">
        <v>22</v>
      </c>
      <c r="D26" s="8"/>
      <c r="E26" s="8">
        <f>J17+J18</f>
        <v>1.7000000000000002</v>
      </c>
      <c r="F26" s="23" t="s">
        <v>25</v>
      </c>
      <c r="G26" t="str">
        <f ca="1">_xlfn.FORMULATEXT(E26)</f>
        <v>=J17+J18</v>
      </c>
    </row>
    <row r="27" spans="1:12" ht="16" thickBot="1" x14ac:dyDescent="0.4">
      <c r="C27" s="15" t="s">
        <v>23</v>
      </c>
      <c r="D27" s="16"/>
      <c r="E27" s="16">
        <f>8.5/10.2</f>
        <v>0.83333333333333337</v>
      </c>
      <c r="F27" s="24" t="s">
        <v>26</v>
      </c>
      <c r="G27" t="str">
        <f ca="1">_xlfn.FORMULATEXT(E27)</f>
        <v>=8.5/10.2</v>
      </c>
      <c r="I27">
        <f>H20-1.7</f>
        <v>8.5000000000000018</v>
      </c>
      <c r="J27" t="str">
        <f ca="1">_xlfn.FORMULATEXT(I27)</f>
        <v>=H20-1.7</v>
      </c>
    </row>
    <row r="29" spans="1:12" x14ac:dyDescent="0.35">
      <c r="A29" s="18" t="s">
        <v>36</v>
      </c>
    </row>
    <row r="30" spans="1:12" ht="16" thickBot="1" x14ac:dyDescent="0.4"/>
    <row r="31" spans="1:12" ht="16" thickBot="1" x14ac:dyDescent="0.4">
      <c r="B31" s="9" t="s">
        <v>43</v>
      </c>
      <c r="C31" s="10"/>
      <c r="D31" s="11">
        <f>9/10</f>
        <v>0.9</v>
      </c>
      <c r="F31" t="s">
        <v>35</v>
      </c>
    </row>
    <row r="32" spans="1:12" x14ac:dyDescent="0.35">
      <c r="D32" t="s">
        <v>15</v>
      </c>
      <c r="F32" t="str">
        <f ca="1">_xlfn.FORMULATEXT(D31)</f>
        <v>=9/10</v>
      </c>
    </row>
    <row r="33" spans="1:12" ht="16" thickBot="1" x14ac:dyDescent="0.4"/>
    <row r="34" spans="1:12" x14ac:dyDescent="0.35">
      <c r="B34" s="12" t="s">
        <v>41</v>
      </c>
      <c r="C34" s="13">
        <f>17.5/20</f>
        <v>0.875</v>
      </c>
      <c r="D34" s="14" t="str">
        <f ca="1">_xlfn.FORMULATEXT(C34)</f>
        <v>=17.5/20</v>
      </c>
      <c r="F34" s="3" t="s">
        <v>39</v>
      </c>
    </row>
    <row r="35" spans="1:12" ht="16" thickBot="1" x14ac:dyDescent="0.4">
      <c r="B35" s="15" t="s">
        <v>42</v>
      </c>
      <c r="C35" s="16" t="s">
        <v>34</v>
      </c>
      <c r="D35" s="17"/>
      <c r="G35" t="s">
        <v>40</v>
      </c>
    </row>
    <row r="37" spans="1:12" ht="16" thickBot="1" x14ac:dyDescent="0.4"/>
    <row r="38" spans="1:12" ht="16" thickBot="1" x14ac:dyDescent="0.4">
      <c r="A38" s="18" t="s">
        <v>37</v>
      </c>
      <c r="B38" s="25" t="s">
        <v>38</v>
      </c>
    </row>
    <row r="40" spans="1:12" ht="31" x14ac:dyDescent="0.35">
      <c r="D40" s="7" t="s">
        <v>27</v>
      </c>
      <c r="E40" s="7" t="s">
        <v>28</v>
      </c>
      <c r="F40" s="7" t="s">
        <v>29</v>
      </c>
      <c r="G40" s="7" t="s">
        <v>30</v>
      </c>
      <c r="H40" s="7" t="s">
        <v>31</v>
      </c>
      <c r="I40" s="7" t="s">
        <v>32</v>
      </c>
      <c r="J40" s="7"/>
      <c r="K40" s="7" t="s">
        <v>11</v>
      </c>
      <c r="L40" s="7" t="s">
        <v>33</v>
      </c>
    </row>
    <row r="41" spans="1:12" x14ac:dyDescent="0.35">
      <c r="D41">
        <v>1</v>
      </c>
      <c r="E41">
        <v>0</v>
      </c>
      <c r="F41">
        <v>2.5</v>
      </c>
      <c r="G41">
        <v>0</v>
      </c>
      <c r="H41">
        <v>0</v>
      </c>
      <c r="I41">
        <v>2.5</v>
      </c>
      <c r="K41">
        <v>0</v>
      </c>
    </row>
    <row r="42" spans="1:12" x14ac:dyDescent="0.35">
      <c r="D42">
        <v>2</v>
      </c>
      <c r="E42">
        <v>1</v>
      </c>
      <c r="G42">
        <v>1</v>
      </c>
    </row>
    <row r="43" spans="1:12" x14ac:dyDescent="0.35">
      <c r="D43">
        <v>3</v>
      </c>
      <c r="E43">
        <v>1</v>
      </c>
      <c r="F43">
        <v>2</v>
      </c>
      <c r="G43">
        <v>2</v>
      </c>
      <c r="H43">
        <v>2.5</v>
      </c>
      <c r="I43">
        <v>4.5</v>
      </c>
      <c r="K43">
        <f>H43-G43</f>
        <v>0.5</v>
      </c>
    </row>
    <row r="44" spans="1:12" x14ac:dyDescent="0.35">
      <c r="D44">
        <v>4</v>
      </c>
      <c r="E44">
        <v>1</v>
      </c>
      <c r="G44">
        <v>3</v>
      </c>
    </row>
    <row r="45" spans="1:12" x14ac:dyDescent="0.35">
      <c r="D45">
        <v>5</v>
      </c>
      <c r="E45">
        <v>1</v>
      </c>
      <c r="F45">
        <v>3</v>
      </c>
      <c r="G45">
        <v>4</v>
      </c>
      <c r="H45">
        <v>4.5</v>
      </c>
      <c r="I45">
        <v>7.5</v>
      </c>
      <c r="K45">
        <f>H45-G45</f>
        <v>0.5</v>
      </c>
    </row>
    <row r="46" spans="1:12" x14ac:dyDescent="0.35">
      <c r="D46">
        <v>6</v>
      </c>
      <c r="E46">
        <v>1</v>
      </c>
      <c r="F46">
        <v>1.5</v>
      </c>
      <c r="G46">
        <v>5</v>
      </c>
      <c r="H46">
        <v>7.5</v>
      </c>
      <c r="I46">
        <v>9</v>
      </c>
      <c r="K46">
        <f>H46-G46</f>
        <v>2.5</v>
      </c>
    </row>
    <row r="47" spans="1:12" x14ac:dyDescent="0.35">
      <c r="D47">
        <v>7</v>
      </c>
      <c r="E47">
        <v>1</v>
      </c>
      <c r="G47">
        <v>6</v>
      </c>
    </row>
    <row r="48" spans="1:12" x14ac:dyDescent="0.35">
      <c r="D48">
        <v>8</v>
      </c>
      <c r="E48">
        <v>1</v>
      </c>
      <c r="F48">
        <v>2</v>
      </c>
      <c r="G48">
        <v>7</v>
      </c>
      <c r="H48">
        <v>9</v>
      </c>
      <c r="I48">
        <v>11</v>
      </c>
      <c r="K48">
        <f>H48-G48</f>
        <v>2</v>
      </c>
    </row>
    <row r="49" spans="4:12" x14ac:dyDescent="0.35">
      <c r="D49">
        <v>9</v>
      </c>
      <c r="E49">
        <v>1</v>
      </c>
      <c r="F49">
        <v>1</v>
      </c>
      <c r="G49">
        <v>8</v>
      </c>
      <c r="H49">
        <v>11</v>
      </c>
      <c r="I49">
        <v>12</v>
      </c>
      <c r="K49">
        <f>H49-G49</f>
        <v>3</v>
      </c>
    </row>
    <row r="50" spans="4:12" x14ac:dyDescent="0.35">
      <c r="D50">
        <v>10</v>
      </c>
      <c r="E50">
        <v>1</v>
      </c>
      <c r="G50">
        <v>9</v>
      </c>
    </row>
    <row r="51" spans="4:12" x14ac:dyDescent="0.35">
      <c r="D51">
        <v>11</v>
      </c>
      <c r="E51">
        <v>1</v>
      </c>
      <c r="G51">
        <v>10</v>
      </c>
    </row>
    <row r="52" spans="4:12" x14ac:dyDescent="0.35">
      <c r="D52">
        <v>12</v>
      </c>
      <c r="E52">
        <v>1</v>
      </c>
      <c r="G52">
        <v>11</v>
      </c>
    </row>
    <row r="53" spans="4:12" x14ac:dyDescent="0.35">
      <c r="D53">
        <v>13</v>
      </c>
      <c r="E53">
        <v>1</v>
      </c>
      <c r="F53">
        <v>2</v>
      </c>
      <c r="G53">
        <v>12</v>
      </c>
      <c r="H53">
        <v>12</v>
      </c>
      <c r="I53">
        <v>14</v>
      </c>
      <c r="K53">
        <f>H53-G53</f>
        <v>0</v>
      </c>
    </row>
    <row r="54" spans="4:12" x14ac:dyDescent="0.35">
      <c r="D54">
        <v>14</v>
      </c>
      <c r="E54">
        <v>1</v>
      </c>
      <c r="G54">
        <v>13</v>
      </c>
    </row>
    <row r="55" spans="4:12" x14ac:dyDescent="0.35">
      <c r="D55">
        <v>15</v>
      </c>
      <c r="E55">
        <v>1</v>
      </c>
      <c r="G55">
        <v>14</v>
      </c>
    </row>
    <row r="56" spans="4:12" x14ac:dyDescent="0.35">
      <c r="D56">
        <v>16</v>
      </c>
      <c r="E56">
        <v>1</v>
      </c>
      <c r="F56">
        <v>0.5</v>
      </c>
      <c r="G56">
        <v>15</v>
      </c>
      <c r="H56">
        <v>15</v>
      </c>
      <c r="I56">
        <v>15.5</v>
      </c>
      <c r="K56">
        <v>0</v>
      </c>
      <c r="L56">
        <v>1</v>
      </c>
    </row>
    <row r="57" spans="4:12" x14ac:dyDescent="0.35">
      <c r="D57">
        <v>17</v>
      </c>
      <c r="E57">
        <v>1</v>
      </c>
      <c r="G57">
        <v>16</v>
      </c>
    </row>
    <row r="58" spans="4:12" x14ac:dyDescent="0.35">
      <c r="D58">
        <v>18</v>
      </c>
      <c r="E58">
        <v>1</v>
      </c>
      <c r="F58">
        <v>1.5</v>
      </c>
      <c r="G58">
        <v>17</v>
      </c>
      <c r="H58">
        <v>17</v>
      </c>
      <c r="I58">
        <v>18.5</v>
      </c>
      <c r="K58">
        <v>0</v>
      </c>
      <c r="L58">
        <v>1.5</v>
      </c>
    </row>
    <row r="59" spans="4:12" x14ac:dyDescent="0.35">
      <c r="D59">
        <v>19</v>
      </c>
      <c r="E59">
        <v>1</v>
      </c>
      <c r="F59">
        <v>3</v>
      </c>
      <c r="G59">
        <v>18</v>
      </c>
      <c r="H59">
        <v>18.5</v>
      </c>
      <c r="I59">
        <v>21.5</v>
      </c>
      <c r="K59">
        <v>0.5</v>
      </c>
    </row>
    <row r="60" spans="4:12" x14ac:dyDescent="0.35">
      <c r="D60">
        <v>20</v>
      </c>
      <c r="E60">
        <v>1</v>
      </c>
      <c r="G60">
        <v>19</v>
      </c>
    </row>
    <row r="61" spans="4:12" x14ac:dyDescent="0.35">
      <c r="K61" s="26">
        <f>SUM(K41:K59)</f>
        <v>9</v>
      </c>
      <c r="L61" s="8">
        <f>SUM(L41:L59)</f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DeBiase</dc:creator>
  <cp:lastModifiedBy>Brian DeBiase</cp:lastModifiedBy>
  <dcterms:created xsi:type="dcterms:W3CDTF">2026-01-13T23:06:05Z</dcterms:created>
  <dcterms:modified xsi:type="dcterms:W3CDTF">2026-01-14T22:57:43Z</dcterms:modified>
</cp:coreProperties>
</file>