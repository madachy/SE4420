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s01-my.sharepoint.com/personal/norman_chan_nps_edu/Documents/SE4420 Modeling and Simulation Madachy/HW 1/"/>
    </mc:Choice>
  </mc:AlternateContent>
  <xr:revisionPtr revIDLastSave="121" documentId="8_{97F1FEA0-1673-4E6F-A651-EAD2408CE337}" xr6:coauthVersionLast="47" xr6:coauthVersionMax="47" xr10:uidLastSave="{652F4B0D-81D6-465B-AD3D-EB44E895F31B}"/>
  <bookViews>
    <workbookView xWindow="25695" yWindow="0" windowWidth="26010" windowHeight="20985" xr2:uid="{C1AE73EB-B1E0-4A9E-8C12-45A801931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Q20" i="1"/>
  <c r="P19" i="1"/>
  <c r="Q18" i="1"/>
  <c r="P18" i="1"/>
  <c r="Q17" i="1"/>
  <c r="P17" i="1"/>
  <c r="Q16" i="1"/>
  <c r="P16" i="1"/>
  <c r="P15" i="1"/>
  <c r="P14" i="1"/>
  <c r="P13" i="1"/>
  <c r="P12" i="1"/>
  <c r="P11" i="1"/>
  <c r="P10" i="1"/>
  <c r="G35" i="1"/>
  <c r="G27" i="1"/>
  <c r="G28" i="1"/>
  <c r="G29" i="1"/>
  <c r="G30" i="1"/>
  <c r="G31" i="1"/>
  <c r="G32" i="1"/>
  <c r="G33" i="1"/>
  <c r="G34" i="1"/>
  <c r="G26" i="1"/>
  <c r="F26" i="1"/>
  <c r="F27" i="1"/>
  <c r="F29" i="1"/>
  <c r="F30" i="1"/>
  <c r="F31" i="1"/>
  <c r="F32" i="1"/>
  <c r="F33" i="1"/>
  <c r="F34" i="1"/>
  <c r="F25" i="1"/>
  <c r="D28" i="1"/>
  <c r="F28" i="1" s="1"/>
  <c r="F35" i="1" s="1"/>
  <c r="F11" i="1"/>
  <c r="F12" i="1"/>
  <c r="F13" i="1"/>
  <c r="F15" i="1"/>
  <c r="F16" i="1"/>
  <c r="F18" i="1"/>
  <c r="F21" i="1"/>
  <c r="F3" i="1"/>
  <c r="F5" i="1"/>
  <c r="F8" i="1"/>
  <c r="E11" i="1"/>
  <c r="E12" i="1"/>
  <c r="E13" i="1"/>
  <c r="E14" i="1"/>
  <c r="E15" i="1"/>
  <c r="E16" i="1"/>
  <c r="E17" i="1"/>
  <c r="E18" i="1"/>
  <c r="E19" i="1"/>
  <c r="E20" i="1"/>
  <c r="E21" i="1"/>
  <c r="E8" i="1"/>
  <c r="E9" i="1" s="1"/>
  <c r="E3" i="1"/>
  <c r="F4" i="1" s="1"/>
  <c r="F20" i="1" l="1"/>
  <c r="F19" i="1"/>
  <c r="E10" i="1"/>
  <c r="F17" i="1" s="1"/>
  <c r="E4" i="1"/>
  <c r="E5" i="1" l="1"/>
  <c r="F6" i="1" s="1"/>
  <c r="E6" i="1" l="1"/>
  <c r="F7" i="1" s="1"/>
  <c r="D7" i="1" l="1"/>
  <c r="E7" i="1" s="1"/>
  <c r="F14" i="1" l="1"/>
  <c r="F9" i="1"/>
  <c r="F10" i="1"/>
</calcChain>
</file>

<file path=xl/sharedStrings.xml><?xml version="1.0" encoding="utf-8"?>
<sst xmlns="http://schemas.openxmlformats.org/spreadsheetml/2006/main" count="22" uniqueCount="8">
  <si>
    <t>Arrival</t>
  </si>
  <si>
    <t>Service</t>
  </si>
  <si>
    <t>Start</t>
  </si>
  <si>
    <t>End</t>
  </si>
  <si>
    <t>Wait Time</t>
  </si>
  <si>
    <t>Idle Time</t>
  </si>
  <si>
    <t>Ship #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</si>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</sst>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F443-44EE-460B-A72D-D485E946EA0C}">
  <dimension ref="A1:Q36"/>
  <sheetViews>
    <sheetView tabSelected="1" workbookViewId="0">
      <selection activeCell="J9" sqref="J9:Q19"/>
    </sheetView>
  </sheetViews>
  <sheetFormatPr defaultRowHeight="15" x14ac:dyDescent="0.25"/>
  <sheetData>
    <row r="1" spans="1:1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7" x14ac:dyDescent="0.25">
      <c r="A2" s="1">
        <v>1</v>
      </c>
      <c r="B2" s="1">
        <v>0</v>
      </c>
      <c r="C2" s="1">
        <v>2.5</v>
      </c>
      <c r="D2" s="1">
        <v>0</v>
      </c>
      <c r="E2" s="1">
        <v>2.5</v>
      </c>
      <c r="F2" s="1">
        <v>0</v>
      </c>
      <c r="G2" s="1"/>
    </row>
    <row r="3" spans="1:17" x14ac:dyDescent="0.25">
      <c r="A3" s="1">
        <v>2</v>
      </c>
      <c r="B3" s="1">
        <v>1</v>
      </c>
      <c r="C3" s="1"/>
      <c r="D3" s="1">
        <v>0</v>
      </c>
      <c r="E3" s="1">
        <f>D3+C3</f>
        <v>0</v>
      </c>
      <c r="F3" s="1">
        <f>IF(C3&gt;0,MAX(E2-B3,0),0)</f>
        <v>0</v>
      </c>
      <c r="G3" s="1"/>
    </row>
    <row r="4" spans="1:17" x14ac:dyDescent="0.25">
      <c r="A4" s="1">
        <v>3</v>
      </c>
      <c r="B4" s="1">
        <v>2</v>
      </c>
      <c r="C4" s="1">
        <v>2</v>
      </c>
      <c r="D4" s="1">
        <v>2.5</v>
      </c>
      <c r="E4" s="1">
        <f t="shared" ref="E4:E10" si="0">D4+C4</f>
        <v>4.5</v>
      </c>
      <c r="F4" s="1">
        <f t="shared" ref="F4:F8" si="1">IF(C4&gt;0,MAX(E3-B4,0),0)</f>
        <v>0</v>
      </c>
      <c r="G4" s="1"/>
    </row>
    <row r="5" spans="1:17" x14ac:dyDescent="0.25">
      <c r="A5" s="1">
        <v>4</v>
      </c>
      <c r="B5" s="1">
        <v>3</v>
      </c>
      <c r="C5" s="1"/>
      <c r="D5" s="1">
        <v>0</v>
      </c>
      <c r="E5" s="1">
        <f t="shared" si="0"/>
        <v>0</v>
      </c>
      <c r="F5" s="1">
        <f t="shared" si="1"/>
        <v>0</v>
      </c>
      <c r="G5" s="1"/>
    </row>
    <row r="6" spans="1:17" x14ac:dyDescent="0.25">
      <c r="A6" s="1">
        <v>5</v>
      </c>
      <c r="B6" s="1">
        <v>4</v>
      </c>
      <c r="C6" s="1">
        <v>3</v>
      </c>
      <c r="D6" s="1">
        <v>4.5</v>
      </c>
      <c r="E6" s="1">
        <f t="shared" si="0"/>
        <v>7.5</v>
      </c>
      <c r="F6" s="1">
        <f t="shared" si="1"/>
        <v>0</v>
      </c>
      <c r="G6" s="1"/>
    </row>
    <row r="7" spans="1:17" x14ac:dyDescent="0.25">
      <c r="A7" s="1">
        <v>6</v>
      </c>
      <c r="B7" s="1">
        <v>5</v>
      </c>
      <c r="C7" s="1">
        <v>1.5</v>
      </c>
      <c r="D7" s="1">
        <f t="shared" ref="D7" si="2">MAX(E6,B7)</f>
        <v>7.5</v>
      </c>
      <c r="E7" s="1">
        <f t="shared" si="0"/>
        <v>9</v>
      </c>
      <c r="F7" s="1">
        <f t="shared" si="1"/>
        <v>2.5</v>
      </c>
      <c r="G7" s="1"/>
    </row>
    <row r="8" spans="1:17" x14ac:dyDescent="0.25">
      <c r="A8" s="1">
        <v>7</v>
      </c>
      <c r="B8" s="1">
        <v>6</v>
      </c>
      <c r="C8" s="1"/>
      <c r="D8" s="1">
        <v>0</v>
      </c>
      <c r="E8" s="1">
        <f t="shared" si="0"/>
        <v>0</v>
      </c>
      <c r="F8" s="1">
        <f t="shared" si="1"/>
        <v>0</v>
      </c>
      <c r="G8" s="1"/>
    </row>
    <row r="9" spans="1:17" x14ac:dyDescent="0.25">
      <c r="A9" s="1">
        <v>8</v>
      </c>
      <c r="B9" s="1">
        <v>7</v>
      </c>
      <c r="C9" s="1">
        <v>2</v>
      </c>
      <c r="D9" s="1">
        <v>9</v>
      </c>
      <c r="E9" s="1">
        <f t="shared" si="0"/>
        <v>11</v>
      </c>
      <c r="F9" s="1">
        <f>IF(C9&gt;0,MAX(MAX(E2:E8)-B9,0),0)</f>
        <v>2</v>
      </c>
      <c r="G9" s="1"/>
      <c r="J9" s="1" t="s">
        <v>6</v>
      </c>
      <c r="K9" s="1" t="s">
        <v>0</v>
      </c>
      <c r="L9" s="1" t="s">
        <v>1</v>
      </c>
      <c r="M9" s="1" t="s">
        <v>7</v>
      </c>
      <c r="N9" s="1" t="s">
        <v>2</v>
      </c>
      <c r="O9" s="1" t="s">
        <v>3</v>
      </c>
      <c r="P9" s="1" t="s">
        <v>4</v>
      </c>
      <c r="Q9" s="1" t="s">
        <v>5</v>
      </c>
    </row>
    <row r="10" spans="1:17" x14ac:dyDescent="0.25">
      <c r="A10" s="1">
        <v>9</v>
      </c>
      <c r="B10" s="1">
        <v>8</v>
      </c>
      <c r="C10" s="1">
        <v>1</v>
      </c>
      <c r="D10" s="1">
        <v>11</v>
      </c>
      <c r="E10" s="1">
        <f t="shared" si="0"/>
        <v>12</v>
      </c>
      <c r="F10" s="1">
        <f t="shared" ref="F10:F21" si="3">IF(C10&gt;0,MAX(MAX(E3:E9)-B10,0),0)</f>
        <v>3</v>
      </c>
      <c r="G10" s="1"/>
      <c r="J10" s="1">
        <v>1</v>
      </c>
      <c r="K10" s="1">
        <v>0</v>
      </c>
      <c r="L10" s="1">
        <v>2.5</v>
      </c>
      <c r="M10" s="1">
        <v>1</v>
      </c>
      <c r="N10" s="1">
        <v>0</v>
      </c>
      <c r="O10" s="1">
        <v>2.5</v>
      </c>
      <c r="P10" s="1">
        <f>N10-K10</f>
        <v>0</v>
      </c>
      <c r="Q10" s="1">
        <v>0</v>
      </c>
    </row>
    <row r="11" spans="1:17" x14ac:dyDescent="0.25">
      <c r="A11" s="1">
        <v>10</v>
      </c>
      <c r="B11" s="1">
        <v>9</v>
      </c>
      <c r="C11" s="1"/>
      <c r="D11" s="1">
        <v>0</v>
      </c>
      <c r="E11" s="1">
        <f t="shared" ref="E11:E21" si="4">D11+C11</f>
        <v>0</v>
      </c>
      <c r="F11" s="1">
        <f t="shared" si="3"/>
        <v>0</v>
      </c>
      <c r="G11" s="1"/>
      <c r="J11" s="1">
        <v>3</v>
      </c>
      <c r="K11" s="1">
        <v>2</v>
      </c>
      <c r="L11" s="1">
        <v>2</v>
      </c>
      <c r="M11" s="1">
        <v>2</v>
      </c>
      <c r="N11" s="1">
        <v>2</v>
      </c>
      <c r="O11" s="1">
        <v>4</v>
      </c>
      <c r="P11" s="1">
        <f t="shared" ref="P11:P19" si="5">N11-K11</f>
        <v>0</v>
      </c>
      <c r="Q11" s="1">
        <v>2</v>
      </c>
    </row>
    <row r="12" spans="1:17" x14ac:dyDescent="0.25">
      <c r="A12" s="1">
        <v>11</v>
      </c>
      <c r="B12" s="1">
        <v>10</v>
      </c>
      <c r="C12" s="1"/>
      <c r="D12" s="1">
        <v>0</v>
      </c>
      <c r="E12" s="1">
        <f t="shared" si="4"/>
        <v>0</v>
      </c>
      <c r="F12" s="1">
        <f t="shared" si="3"/>
        <v>0</v>
      </c>
      <c r="G12" s="1"/>
      <c r="J12" s="1">
        <v>5</v>
      </c>
      <c r="K12" s="1">
        <v>4</v>
      </c>
      <c r="L12" s="1">
        <v>3</v>
      </c>
      <c r="M12" s="1">
        <v>1</v>
      </c>
      <c r="N12" s="1">
        <v>4</v>
      </c>
      <c r="O12" s="1">
        <v>7</v>
      </c>
      <c r="P12" s="1">
        <f t="shared" si="5"/>
        <v>0</v>
      </c>
      <c r="Q12" s="1">
        <v>1.5</v>
      </c>
    </row>
    <row r="13" spans="1:17" x14ac:dyDescent="0.25">
      <c r="A13" s="1">
        <v>12</v>
      </c>
      <c r="B13" s="1">
        <v>11</v>
      </c>
      <c r="C13" s="1"/>
      <c r="D13" s="1">
        <v>0</v>
      </c>
      <c r="E13" s="1">
        <f t="shared" si="4"/>
        <v>0</v>
      </c>
      <c r="F13" s="1">
        <f t="shared" si="3"/>
        <v>0</v>
      </c>
      <c r="G13" s="1"/>
      <c r="J13" s="1">
        <v>6</v>
      </c>
      <c r="K13" s="1">
        <v>5</v>
      </c>
      <c r="L13" s="1">
        <v>1.5</v>
      </c>
      <c r="M13" s="1">
        <v>2</v>
      </c>
      <c r="N13" s="1">
        <v>5</v>
      </c>
      <c r="O13" s="1">
        <v>6.5</v>
      </c>
      <c r="P13" s="1">
        <f t="shared" si="5"/>
        <v>0</v>
      </c>
      <c r="Q13" s="1">
        <v>1</v>
      </c>
    </row>
    <row r="14" spans="1:17" x14ac:dyDescent="0.25">
      <c r="A14" s="1">
        <v>13</v>
      </c>
      <c r="B14" s="1">
        <v>12</v>
      </c>
      <c r="C14" s="1">
        <v>2</v>
      </c>
      <c r="D14" s="1">
        <v>12</v>
      </c>
      <c r="E14" s="1">
        <f t="shared" si="4"/>
        <v>14</v>
      </c>
      <c r="F14" s="1">
        <f t="shared" si="3"/>
        <v>0</v>
      </c>
      <c r="G14" s="1"/>
      <c r="J14" s="1">
        <v>8</v>
      </c>
      <c r="K14" s="1">
        <v>7</v>
      </c>
      <c r="L14" s="1">
        <v>2</v>
      </c>
      <c r="M14" s="1">
        <v>1</v>
      </c>
      <c r="N14" s="1">
        <v>7</v>
      </c>
      <c r="O14" s="1">
        <v>9</v>
      </c>
      <c r="P14" s="1">
        <f t="shared" si="5"/>
        <v>0</v>
      </c>
      <c r="Q14" s="1">
        <v>0</v>
      </c>
    </row>
    <row r="15" spans="1:17" x14ac:dyDescent="0.25">
      <c r="A15" s="1">
        <v>14</v>
      </c>
      <c r="B15" s="1">
        <v>13</v>
      </c>
      <c r="C15" s="1"/>
      <c r="D15" s="1">
        <v>0</v>
      </c>
      <c r="E15" s="1">
        <f t="shared" si="4"/>
        <v>0</v>
      </c>
      <c r="F15" s="1">
        <f t="shared" si="3"/>
        <v>0</v>
      </c>
      <c r="G15" s="1"/>
      <c r="J15" s="1">
        <v>9</v>
      </c>
      <c r="K15" s="1">
        <v>8</v>
      </c>
      <c r="L15" s="1">
        <v>1</v>
      </c>
      <c r="M15" s="1">
        <v>2</v>
      </c>
      <c r="N15" s="1">
        <v>8</v>
      </c>
      <c r="O15" s="1">
        <v>9</v>
      </c>
      <c r="P15" s="1">
        <f t="shared" si="5"/>
        <v>0</v>
      </c>
      <c r="Q15" s="1">
        <v>1.5</v>
      </c>
    </row>
    <row r="16" spans="1:17" x14ac:dyDescent="0.25">
      <c r="A16" s="1">
        <v>15</v>
      </c>
      <c r="B16" s="1">
        <v>14</v>
      </c>
      <c r="C16" s="1"/>
      <c r="D16" s="1">
        <v>0</v>
      </c>
      <c r="E16" s="1">
        <f t="shared" si="4"/>
        <v>0</v>
      </c>
      <c r="F16" s="1">
        <f t="shared" si="3"/>
        <v>0</v>
      </c>
      <c r="G16" s="1"/>
      <c r="J16" s="1">
        <v>13</v>
      </c>
      <c r="K16" s="1">
        <v>12</v>
      </c>
      <c r="L16" s="1">
        <v>2</v>
      </c>
      <c r="M16" s="1">
        <v>1</v>
      </c>
      <c r="N16" s="1">
        <v>12</v>
      </c>
      <c r="O16" s="1">
        <v>14</v>
      </c>
      <c r="P16" s="1">
        <f t="shared" si="5"/>
        <v>0</v>
      </c>
      <c r="Q16" s="1">
        <f t="shared" ref="Q12:Q19" si="6">MAX(K16-O15,0)</f>
        <v>3</v>
      </c>
    </row>
    <row r="17" spans="1:17" x14ac:dyDescent="0.25">
      <c r="A17" s="1">
        <v>16</v>
      </c>
      <c r="B17" s="1">
        <v>15</v>
      </c>
      <c r="C17" s="1">
        <v>0.5</v>
      </c>
      <c r="D17" s="1">
        <v>15</v>
      </c>
      <c r="E17" s="1">
        <f t="shared" si="4"/>
        <v>15.5</v>
      </c>
      <c r="F17" s="1">
        <f t="shared" si="3"/>
        <v>0</v>
      </c>
      <c r="G17" s="1"/>
      <c r="J17" s="1">
        <v>16</v>
      </c>
      <c r="K17" s="1">
        <v>15</v>
      </c>
      <c r="L17" s="1">
        <v>0.5</v>
      </c>
      <c r="M17" s="1">
        <v>1</v>
      </c>
      <c r="N17" s="1">
        <v>15</v>
      </c>
      <c r="O17" s="1">
        <v>15.5</v>
      </c>
      <c r="P17" s="1">
        <f t="shared" si="5"/>
        <v>0</v>
      </c>
      <c r="Q17" s="1">
        <f t="shared" si="6"/>
        <v>1</v>
      </c>
    </row>
    <row r="18" spans="1:17" x14ac:dyDescent="0.25">
      <c r="A18" s="1">
        <v>17</v>
      </c>
      <c r="B18" s="1">
        <v>16</v>
      </c>
      <c r="C18" s="1"/>
      <c r="D18" s="1">
        <v>0</v>
      </c>
      <c r="E18" s="1">
        <f t="shared" si="4"/>
        <v>0</v>
      </c>
      <c r="F18" s="1">
        <f t="shared" si="3"/>
        <v>0</v>
      </c>
      <c r="G18" s="1"/>
      <c r="J18" s="1">
        <v>18</v>
      </c>
      <c r="K18" s="1">
        <v>17</v>
      </c>
      <c r="L18" s="1">
        <v>1.5</v>
      </c>
      <c r="M18" s="1">
        <v>1</v>
      </c>
      <c r="N18" s="1">
        <v>17</v>
      </c>
      <c r="O18" s="1">
        <v>18.5</v>
      </c>
      <c r="P18" s="1">
        <f t="shared" si="5"/>
        <v>0</v>
      </c>
      <c r="Q18" s="1">
        <f t="shared" si="6"/>
        <v>1.5</v>
      </c>
    </row>
    <row r="19" spans="1:17" x14ac:dyDescent="0.25">
      <c r="A19" s="1">
        <v>18</v>
      </c>
      <c r="B19" s="1">
        <v>17</v>
      </c>
      <c r="C19" s="1">
        <v>1.5</v>
      </c>
      <c r="D19" s="1">
        <v>17</v>
      </c>
      <c r="E19" s="1">
        <f t="shared" si="4"/>
        <v>18.5</v>
      </c>
      <c r="F19" s="1">
        <f t="shared" si="3"/>
        <v>0</v>
      </c>
      <c r="G19" s="1"/>
      <c r="J19" s="1">
        <v>19</v>
      </c>
      <c r="K19" s="1">
        <v>18</v>
      </c>
      <c r="L19" s="1">
        <v>3</v>
      </c>
      <c r="M19" s="1">
        <v>2</v>
      </c>
      <c r="N19" s="1">
        <v>18</v>
      </c>
      <c r="O19" s="1">
        <v>21</v>
      </c>
      <c r="P19" s="1">
        <f t="shared" si="5"/>
        <v>0</v>
      </c>
      <c r="Q19" s="1">
        <v>9</v>
      </c>
    </row>
    <row r="20" spans="1:17" x14ac:dyDescent="0.25">
      <c r="A20" s="1">
        <v>19</v>
      </c>
      <c r="B20" s="1">
        <v>18</v>
      </c>
      <c r="C20" s="1">
        <v>3</v>
      </c>
      <c r="D20" s="1">
        <v>18.5</v>
      </c>
      <c r="E20" s="1">
        <f t="shared" si="4"/>
        <v>21.5</v>
      </c>
      <c r="F20" s="1">
        <f t="shared" si="3"/>
        <v>0.5</v>
      </c>
      <c r="G20" s="1"/>
      <c r="Q20">
        <f>SUM(Q10:Q19)</f>
        <v>20.5</v>
      </c>
    </row>
    <row r="21" spans="1:17" x14ac:dyDescent="0.25">
      <c r="A21" s="1">
        <v>20</v>
      </c>
      <c r="B21" s="1">
        <v>19</v>
      </c>
      <c r="C21" s="1"/>
      <c r="D21" s="1">
        <v>0</v>
      </c>
      <c r="E21" s="1">
        <f t="shared" si="4"/>
        <v>0</v>
      </c>
      <c r="F21" s="1">
        <f t="shared" si="3"/>
        <v>0</v>
      </c>
      <c r="G21" s="1"/>
      <c r="Q21">
        <f>(40-20.5)/40</f>
        <v>0.48749999999999999</v>
      </c>
    </row>
    <row r="24" spans="1:17" x14ac:dyDescent="0.25">
      <c r="A24" s="1" t="s">
        <v>6</v>
      </c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</row>
    <row r="25" spans="1:17" x14ac:dyDescent="0.25">
      <c r="A25" s="1">
        <v>1</v>
      </c>
      <c r="B25" s="1">
        <v>0</v>
      </c>
      <c r="C25" s="1">
        <v>2.5</v>
      </c>
      <c r="D25" s="1">
        <v>0</v>
      </c>
      <c r="E25" s="1">
        <v>2.5</v>
      </c>
      <c r="F25" s="1">
        <f>D25-B25</f>
        <v>0</v>
      </c>
      <c r="G25" s="1">
        <v>0</v>
      </c>
    </row>
    <row r="26" spans="1:17" x14ac:dyDescent="0.25">
      <c r="A26" s="1">
        <v>3</v>
      </c>
      <c r="B26" s="1">
        <v>2</v>
      </c>
      <c r="C26" s="1">
        <v>2</v>
      </c>
      <c r="D26" s="1">
        <v>2.5</v>
      </c>
      <c r="E26" s="1">
        <v>4.5</v>
      </c>
      <c r="F26" s="1">
        <f t="shared" ref="F26:F34" si="7">D26-B26</f>
        <v>0.5</v>
      </c>
      <c r="G26" s="1">
        <f>MAX(B26-E25,0)</f>
        <v>0</v>
      </c>
    </row>
    <row r="27" spans="1:17" x14ac:dyDescent="0.25">
      <c r="A27" s="1">
        <v>5</v>
      </c>
      <c r="B27" s="1">
        <v>4</v>
      </c>
      <c r="C27" s="1">
        <v>3</v>
      </c>
      <c r="D27" s="1">
        <v>4.5</v>
      </c>
      <c r="E27" s="1">
        <v>7.5</v>
      </c>
      <c r="F27" s="1">
        <f t="shared" si="7"/>
        <v>0.5</v>
      </c>
      <c r="G27" s="1">
        <f t="shared" ref="G27:G34" si="8">MAX(B27-E26,0)</f>
        <v>0</v>
      </c>
    </row>
    <row r="28" spans="1:17" x14ac:dyDescent="0.25">
      <c r="A28" s="1">
        <v>6</v>
      </c>
      <c r="B28" s="1">
        <v>5</v>
      </c>
      <c r="C28" s="1">
        <v>1.5</v>
      </c>
      <c r="D28" s="1">
        <f t="shared" ref="D28" si="9">MAX(E27,B28)</f>
        <v>7.5</v>
      </c>
      <c r="E28" s="1">
        <v>9</v>
      </c>
      <c r="F28" s="1">
        <f t="shared" si="7"/>
        <v>2.5</v>
      </c>
      <c r="G28" s="1">
        <f t="shared" si="8"/>
        <v>0</v>
      </c>
    </row>
    <row r="29" spans="1:17" x14ac:dyDescent="0.25">
      <c r="A29" s="1">
        <v>8</v>
      </c>
      <c r="B29" s="1">
        <v>7</v>
      </c>
      <c r="C29" s="1">
        <v>2</v>
      </c>
      <c r="D29" s="1">
        <v>9</v>
      </c>
      <c r="E29" s="1">
        <v>11</v>
      </c>
      <c r="F29" s="1">
        <f t="shared" si="7"/>
        <v>2</v>
      </c>
      <c r="G29" s="1">
        <f t="shared" si="8"/>
        <v>0</v>
      </c>
    </row>
    <row r="30" spans="1:17" x14ac:dyDescent="0.25">
      <c r="A30" s="1">
        <v>9</v>
      </c>
      <c r="B30" s="1">
        <v>8</v>
      </c>
      <c r="C30" s="1">
        <v>1</v>
      </c>
      <c r="D30" s="1">
        <v>11</v>
      </c>
      <c r="E30" s="1">
        <v>12</v>
      </c>
      <c r="F30" s="1">
        <f t="shared" si="7"/>
        <v>3</v>
      </c>
      <c r="G30" s="1">
        <f t="shared" si="8"/>
        <v>0</v>
      </c>
    </row>
    <row r="31" spans="1:17" x14ac:dyDescent="0.25">
      <c r="A31" s="1">
        <v>13</v>
      </c>
      <c r="B31" s="1">
        <v>12</v>
      </c>
      <c r="C31" s="1">
        <v>2</v>
      </c>
      <c r="D31" s="1">
        <v>12</v>
      </c>
      <c r="E31" s="1">
        <v>14</v>
      </c>
      <c r="F31" s="1">
        <f t="shared" si="7"/>
        <v>0</v>
      </c>
      <c r="G31" s="1">
        <f t="shared" si="8"/>
        <v>0</v>
      </c>
    </row>
    <row r="32" spans="1:17" x14ac:dyDescent="0.25">
      <c r="A32" s="1">
        <v>16</v>
      </c>
      <c r="B32" s="1">
        <v>15</v>
      </c>
      <c r="C32" s="1">
        <v>0.5</v>
      </c>
      <c r="D32" s="1">
        <v>15</v>
      </c>
      <c r="E32" s="1">
        <v>15.5</v>
      </c>
      <c r="F32" s="1">
        <f t="shared" si="7"/>
        <v>0</v>
      </c>
      <c r="G32" s="1">
        <f t="shared" si="8"/>
        <v>1</v>
      </c>
    </row>
    <row r="33" spans="1:7" x14ac:dyDescent="0.25">
      <c r="A33" s="1">
        <v>18</v>
      </c>
      <c r="B33" s="1">
        <v>17</v>
      </c>
      <c r="C33" s="1">
        <v>1.5</v>
      </c>
      <c r="D33" s="1">
        <v>17</v>
      </c>
      <c r="E33" s="1">
        <v>18.5</v>
      </c>
      <c r="F33" s="1">
        <f t="shared" si="7"/>
        <v>0</v>
      </c>
      <c r="G33" s="1">
        <f t="shared" si="8"/>
        <v>1.5</v>
      </c>
    </row>
    <row r="34" spans="1:7" x14ac:dyDescent="0.25">
      <c r="A34" s="1">
        <v>19</v>
      </c>
      <c r="B34" s="1">
        <v>18</v>
      </c>
      <c r="C34" s="1">
        <v>3</v>
      </c>
      <c r="D34" s="1">
        <v>18.5</v>
      </c>
      <c r="E34" s="1">
        <v>21.5</v>
      </c>
      <c r="F34" s="1">
        <f t="shared" si="7"/>
        <v>0.5</v>
      </c>
      <c r="G34" s="1">
        <f t="shared" si="8"/>
        <v>0</v>
      </c>
    </row>
    <row r="35" spans="1:7" x14ac:dyDescent="0.25">
      <c r="F35" s="1">
        <f>SUM(F25:F34)/COUNT(A25:A34)</f>
        <v>0.9</v>
      </c>
      <c r="G35" s="1">
        <f>(20-SUM(G25:G34))/20</f>
        <v>0.875</v>
      </c>
    </row>
    <row r="36" spans="1:7" x14ac:dyDescent="0.25">
      <c r="F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Norman (CIV)</dc:creator>
  <cp:lastModifiedBy>Chan, Norman (CIV)</cp:lastModifiedBy>
  <dcterms:created xsi:type="dcterms:W3CDTF">2026-01-10T01:44:31Z</dcterms:created>
  <dcterms:modified xsi:type="dcterms:W3CDTF">2026-01-10T02:42:27Z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2026-01-10T01:53:05Z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d7ae5d7f-33e6-4be7-a698-76877a84b5c8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10, 3, 0, 1</vt:lpwstr>
  </property>
</Properties>
</file>