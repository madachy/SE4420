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armyeitaas-my.sharepoint-mil.us/personal/jason_c_mccoy14_civ_army_mil/Documents/Desktop/"/>
    </mc:Choice>
  </mc:AlternateContent>
  <xr:revisionPtr revIDLastSave="253" documentId="8_{1E0633A7-2110-44A2-8A9D-992E04ABFB13}" xr6:coauthVersionLast="47" xr6:coauthVersionMax="47" xr10:uidLastSave="{75BBBD46-3548-4CDB-B730-BA8A29029CD5}"/>
  <bookViews>
    <workbookView xWindow="1500" yWindow="660" windowWidth="27300" windowHeight="14490" xr2:uid="{0529DBD4-827D-40BA-A836-1FC8170419E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 l="1"/>
  <c r="B78" i="1"/>
  <c r="F65" i="1"/>
  <c r="E70" i="1"/>
  <c r="E71" i="1"/>
  <c r="E69" i="1"/>
  <c r="E65" i="1"/>
  <c r="E68" i="1"/>
  <c r="E67" i="1"/>
  <c r="E66" i="1"/>
  <c r="E64" i="1"/>
  <c r="E63" i="1"/>
  <c r="E62" i="1"/>
  <c r="B27" i="1"/>
  <c r="G19" i="1"/>
  <c r="G15" i="1"/>
  <c r="G18" i="1"/>
  <c r="F16" i="1"/>
  <c r="F17" i="1"/>
  <c r="F18" i="1"/>
  <c r="F19" i="1"/>
  <c r="F15" i="1"/>
  <c r="C80" i="1"/>
  <c r="B80" i="1"/>
  <c r="B72" i="1"/>
  <c r="B75" i="1"/>
  <c r="B74" i="1"/>
  <c r="F72" i="1"/>
  <c r="F63" i="1"/>
  <c r="F64" i="1"/>
  <c r="F66" i="1"/>
  <c r="F67" i="1"/>
  <c r="F68" i="1"/>
  <c r="F69" i="1"/>
  <c r="F70" i="1"/>
  <c r="F71" i="1"/>
  <c r="F62" i="1"/>
  <c r="H20" i="1"/>
  <c r="B26" i="1" s="1"/>
  <c r="G20" i="1"/>
  <c r="D20" i="1"/>
  <c r="D5" i="1"/>
  <c r="F5" i="1"/>
  <c r="C27" i="1" l="1"/>
  <c r="B24" i="1"/>
</calcChain>
</file>

<file path=xl/sharedStrings.xml><?xml version="1.0" encoding="utf-8"?>
<sst xmlns="http://schemas.openxmlformats.org/spreadsheetml/2006/main" count="71" uniqueCount="39">
  <si>
    <t>1. (1 point) The length of a queue during a 30 minute period is 3 for the first 5 minutes, 4 for the next 10 minutes, 2 for the next 6 minutes, and 3 for the last 9 minutes. What is the average queue length during this time?</t>
  </si>
  <si>
    <t>Average Queue Length:</t>
  </si>
  <si>
    <t>minutes</t>
  </si>
  <si>
    <t>2.	(4 points) Compute this problem manually without the aid of a simulation tool. A Navy helicopter mechanic starts his shift and services incoming helicopters at the following inter- arrival times in hours:
[0, 1.4, 2.1, 1.9, 0.2, 1.5]
Thus the first pilot arrives at the very beginning of his shift. The respective helicopter service times in hours are:
[2.2, 1.2, .3, 2.8, .2, 1.8]
Calculate the minimum and maximum queue length for this period, the total queue time (total time spent in queue for all pilots), the average waiting time in queue, the total idle time for the mechanic, and the resource utilization for the mechanic. Show all your work.</t>
  </si>
  <si>
    <t>A/C</t>
  </si>
  <si>
    <t>Ship</t>
  </si>
  <si>
    <t>Interarrival</t>
  </si>
  <si>
    <t>Time</t>
  </si>
  <si>
    <t>Service</t>
  </si>
  <si>
    <t>Arrival</t>
  </si>
  <si>
    <t>Start</t>
  </si>
  <si>
    <t>End</t>
  </si>
  <si>
    <t>Queue</t>
  </si>
  <si>
    <t>Idle</t>
  </si>
  <si>
    <t>Total</t>
  </si>
  <si>
    <t>Starts when A/C 6 arrives and is waiting for 4, which is in service and 5 is waiting in the queue</t>
  </si>
  <si>
    <t>Total Queue Time</t>
  </si>
  <si>
    <t xml:space="preserve">Min Queue A/C </t>
  </si>
  <si>
    <t>Max Queue A/C</t>
  </si>
  <si>
    <t>When A/C 1 arrives and is placed straight into service</t>
  </si>
  <si>
    <t>hours</t>
  </si>
  <si>
    <t>Aver. Wait in the Queue</t>
  </si>
  <si>
    <t>Mech. Idle Time</t>
  </si>
  <si>
    <t>Utilization</t>
  </si>
  <si>
    <r>
      <t>1)</t>
    </r>
    <r>
      <rPr>
        <sz val="7"/>
        <color theme="1"/>
        <rFont val="Times New Roman"/>
        <family val="1"/>
      </rPr>
      <t xml:space="preserve">  </t>
    </r>
    <r>
      <rPr>
        <sz val="11"/>
        <color theme="1"/>
        <rFont val="Times New Roman"/>
        <family val="1"/>
      </rPr>
      <t>What is the average waiting time for the ships that need service?</t>
    </r>
  </si>
  <si>
    <r>
      <t>2)</t>
    </r>
    <r>
      <rPr>
        <sz val="7"/>
        <color theme="1"/>
        <rFont val="Times New Roman"/>
        <family val="1"/>
      </rPr>
      <t xml:space="preserve">   </t>
    </r>
    <r>
      <rPr>
        <sz val="11"/>
        <color theme="1"/>
        <rFont val="Times New Roman"/>
        <family val="1"/>
      </rPr>
      <t>Calculate the 20-day resource utilization of the single facility using fractional days. The facility is open and staffed 24 hours each day available for service.</t>
    </r>
  </si>
  <si>
    <t>Total ships:</t>
  </si>
  <si>
    <t>Average Queue Time</t>
  </si>
  <si>
    <t>Total Service Time 
in 20 day window</t>
  </si>
  <si>
    <t>Total Time:</t>
  </si>
  <si>
    <t>A.    it will be the same</t>
  </si>
  <si>
    <t>B.    it will increase</t>
  </si>
  <si>
    <t>C.    it will decrease</t>
  </si>
  <si>
    <t>D.    it cannot be determined</t>
  </si>
  <si>
    <t>4. (1 point)    In Problem 3, how might the resource utilization change for the first facility when a second facility is added?
 In this case ships will be serviced by the second facility when the first is busy. Assume the same inputs for ship arrivals and service durations.</t>
  </si>
  <si>
    <r>
      <t>3.</t>
    </r>
    <r>
      <rPr>
        <sz val="7"/>
        <color theme="1"/>
        <rFont val="Times New Roman"/>
        <family val="1"/>
      </rPr>
      <t xml:space="preserve">    </t>
    </r>
    <r>
      <rPr>
        <sz val="11"/>
        <color theme="1"/>
        <rFont val="Times New Roman"/>
        <family val="1"/>
      </rPr>
      <t>(5 points) Below is another depiction of the class example for the Navy cargo ship maintenance facility scenario. This is for the single facility configuration and all time units are in days.</t>
    </r>
  </si>
  <si>
    <t xml:space="preserve">Why: </t>
  </si>
  <si>
    <t>You have to account that the service time will be over the 20 day window to 21.5 days.  Subtracting 1.5 days will show the real Total Serive Time of 17.5</t>
  </si>
  <si>
    <t>With the addition of another facility would reduce the queue time within the first facility but will decrease the service time 
for facility #1 and the total available time of service would stay the same.   This will decrease the utilization of facility #1 as the service time decrease with facility #2 being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</si>
</sst>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Times New Roman"/>
      <family val="1"/>
    </font>
    <font>
      <sz val="7"/>
      <color theme="1"/>
      <name val="Times New Roman"/>
      <family val="1"/>
    </font>
    <font>
      <sz val="10"/>
      <color theme="1"/>
      <name val="Times New Roman"/>
      <family val="1"/>
    </font>
    <font>
      <sz val="8"/>
      <color theme="1"/>
      <name val="Times New Roman"/>
      <family val="1"/>
    </font>
  </fonts>
  <fills count="3">
    <fill>
      <patternFill patternType="none"/>
    </fill>
    <fill>
      <patternFill patternType="gray125"/>
    </fill>
    <fill>
      <patternFill patternType="solid">
        <fgColor rgb="FF00B050"/>
        <bgColor indexed="64"/>
      </patternFill>
    </fill>
  </fills>
  <borders count="14">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38">
    <xf numFmtId="0" fontId="0" fillId="0" borderId="0" xfId="0"/>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wrapText="1"/>
    </xf>
    <xf numFmtId="0" fontId="0" fillId="2" borderId="0" xfId="0" applyFill="1"/>
    <xf numFmtId="0" fontId="1" fillId="0" borderId="1" xfId="0" applyFont="1" applyBorder="1" applyAlignment="1">
      <alignment vertical="center" wrapText="1"/>
    </xf>
    <xf numFmtId="0" fontId="1" fillId="0" borderId="2" xfId="0" applyFont="1" applyBorder="1" applyAlignment="1">
      <alignment vertical="center" wrapText="1"/>
    </xf>
    <xf numFmtId="0" fontId="0" fillId="0" borderId="2" xfId="0" applyBorder="1"/>
    <xf numFmtId="0" fontId="0" fillId="0" borderId="3" xfId="0" applyBorder="1"/>
    <xf numFmtId="0" fontId="1" fillId="0" borderId="2" xfId="0" applyFont="1" applyFill="1" applyBorder="1" applyAlignment="1">
      <alignment vertical="center" wrapText="1"/>
    </xf>
    <xf numFmtId="0" fontId="1" fillId="0" borderId="5" xfId="0" applyFont="1" applyBorder="1" applyAlignment="1">
      <alignment vertical="center" wrapText="1"/>
    </xf>
    <xf numFmtId="0" fontId="0" fillId="0" borderId="3" xfId="0" applyBorder="1" applyAlignment="1">
      <alignment horizontal="center"/>
    </xf>
    <xf numFmtId="0" fontId="0" fillId="0" borderId="2" xfId="0" applyBorder="1" applyAlignment="1">
      <alignment horizontal="center"/>
    </xf>
    <xf numFmtId="0" fontId="0" fillId="2" borderId="0" xfId="0" applyFill="1" applyBorder="1"/>
    <xf numFmtId="10" fontId="0" fillId="2" borderId="0" xfId="0" applyNumberFormat="1" applyFill="1"/>
    <xf numFmtId="0" fontId="1" fillId="0" borderId="0" xfId="0" applyFont="1" applyAlignment="1">
      <alignment horizontal="left" vertical="center" indent="2"/>
    </xf>
    <xf numFmtId="0" fontId="1" fillId="0" borderId="0" xfId="0" applyFont="1" applyAlignment="1">
      <alignment horizontal="left" vertical="center" indent="4"/>
    </xf>
    <xf numFmtId="0" fontId="3" fillId="0" borderId="0" xfId="0" applyFont="1" applyAlignment="1">
      <alignment vertical="center"/>
    </xf>
    <xf numFmtId="0" fontId="3" fillId="0" borderId="0" xfId="0" applyFont="1" applyAlignment="1">
      <alignment vertical="center" wrapText="1"/>
    </xf>
    <xf numFmtId="0" fontId="4" fillId="0" borderId="0" xfId="0" applyFont="1" applyAlignment="1">
      <alignment vertical="center" wrapText="1"/>
    </xf>
    <xf numFmtId="0" fontId="1" fillId="0" borderId="4" xfId="0" applyFont="1" applyBorder="1" applyAlignment="1">
      <alignment vertical="center" wrapText="1"/>
    </xf>
    <xf numFmtId="0" fontId="1" fillId="0" borderId="6" xfId="0" applyFont="1" applyBorder="1" applyAlignment="1">
      <alignment vertical="center" wrapText="1"/>
    </xf>
    <xf numFmtId="0" fontId="1" fillId="0" borderId="12" xfId="0" applyFont="1" applyBorder="1" applyAlignment="1">
      <alignment vertical="center" wrapText="1"/>
    </xf>
    <xf numFmtId="0" fontId="1" fillId="0" borderId="13" xfId="0" applyFont="1" applyFill="1" applyBorder="1" applyAlignment="1">
      <alignment vertical="center" wrapText="1"/>
    </xf>
    <xf numFmtId="0" fontId="1" fillId="0" borderId="12" xfId="0" applyFont="1" applyBorder="1" applyAlignment="1">
      <alignment horizontal="center" vertical="center" wrapText="1"/>
    </xf>
    <xf numFmtId="0" fontId="0" fillId="0" borderId="13" xfId="0" applyBorder="1"/>
    <xf numFmtId="0" fontId="0" fillId="0" borderId="12" xfId="0" applyBorder="1"/>
    <xf numFmtId="0" fontId="0" fillId="2" borderId="7" xfId="0" applyFill="1" applyBorder="1"/>
    <xf numFmtId="0" fontId="0" fillId="2" borderId="8" xfId="0" applyFill="1" applyBorder="1"/>
    <xf numFmtId="0" fontId="0" fillId="0" borderId="8" xfId="0" applyBorder="1"/>
    <xf numFmtId="0" fontId="0" fillId="0" borderId="9" xfId="0" applyBorder="1"/>
    <xf numFmtId="0" fontId="0" fillId="0" borderId="0" xfId="0" applyAlignment="1">
      <alignment horizontal="center" wrapText="1"/>
    </xf>
    <xf numFmtId="0" fontId="0" fillId="2" borderId="0" xfId="0" applyFill="1" applyAlignment="1">
      <alignment horizontal="center" wrapText="1"/>
    </xf>
    <xf numFmtId="0" fontId="1" fillId="0" borderId="0" xfId="0" applyFont="1" applyAlignment="1">
      <alignment horizontal="center" vertical="center" wrapText="1"/>
    </xf>
    <xf numFmtId="0" fontId="0" fillId="0" borderId="0" xfId="0" applyAlignment="1">
      <alignment horizont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CF0F-8CB0-40EB-8199-55D069FA3ACC}">
  <dimension ref="A1:M90"/>
  <sheetViews>
    <sheetView tabSelected="1" topLeftCell="A72" workbookViewId="0">
      <selection activeCell="D87" sqref="D87"/>
    </sheetView>
  </sheetViews>
  <sheetFormatPr defaultRowHeight="15" x14ac:dyDescent="0.25"/>
  <cols>
    <col min="1" max="1" width="21.5703125" bestFit="1" customWidth="1"/>
    <col min="2" max="2" width="12.140625" customWidth="1"/>
  </cols>
  <sheetData>
    <row r="1" spans="1:13" ht="15" customHeight="1" x14ac:dyDescent="0.25">
      <c r="A1" s="34" t="s">
        <v>0</v>
      </c>
      <c r="B1" s="34"/>
      <c r="C1" s="34"/>
      <c r="D1" s="34"/>
      <c r="E1" s="34"/>
      <c r="F1" s="34"/>
      <c r="G1" s="34"/>
      <c r="H1" s="34"/>
      <c r="I1" s="34"/>
      <c r="J1" s="34"/>
      <c r="K1" s="34"/>
      <c r="L1" s="34"/>
      <c r="M1" s="34"/>
    </row>
    <row r="2" spans="1:13" x14ac:dyDescent="0.25">
      <c r="A2" s="34"/>
      <c r="B2" s="34"/>
      <c r="C2" s="34"/>
      <c r="D2" s="34"/>
      <c r="E2" s="34"/>
      <c r="F2" s="34"/>
      <c r="G2" s="34"/>
      <c r="H2" s="34"/>
      <c r="I2" s="34"/>
      <c r="J2" s="34"/>
      <c r="K2" s="34"/>
      <c r="L2" s="34"/>
      <c r="M2" s="34"/>
    </row>
    <row r="3" spans="1:13" x14ac:dyDescent="0.25">
      <c r="A3" s="34"/>
      <c r="B3" s="34"/>
      <c r="C3" s="34"/>
      <c r="D3" s="34"/>
      <c r="E3" s="34"/>
      <c r="F3" s="34"/>
      <c r="G3" s="34"/>
      <c r="H3" s="34"/>
      <c r="I3" s="34"/>
      <c r="J3" s="34"/>
      <c r="K3" s="34"/>
      <c r="L3" s="34"/>
      <c r="M3" s="34"/>
    </row>
    <row r="4" spans="1:13" x14ac:dyDescent="0.25">
      <c r="B4" s="1"/>
      <c r="C4" s="1"/>
      <c r="D4" s="1"/>
      <c r="E4" s="1"/>
      <c r="F4" s="1"/>
      <c r="G4" s="1"/>
      <c r="H4" s="1"/>
      <c r="I4" s="1"/>
      <c r="J4" s="1"/>
      <c r="K4" s="1"/>
      <c r="L4" s="1"/>
      <c r="M4" s="1"/>
    </row>
    <row r="5" spans="1:13" x14ac:dyDescent="0.25">
      <c r="A5" s="35" t="s">
        <v>1</v>
      </c>
      <c r="B5" s="35"/>
      <c r="C5" s="35"/>
      <c r="D5" s="5">
        <f>((3*5)+(4*10)+(2*6)+(3*9))/30</f>
        <v>3.1333333333333333</v>
      </c>
      <c r="E5" s="5" t="s">
        <v>2</v>
      </c>
      <c r="F5" t="str">
        <f ca="1">_xlfn.FORMULATEXT(D5)</f>
        <v>=((3*5)+(4*10)+(2*6)+(3*9))/30</v>
      </c>
    </row>
    <row r="8" spans="1:13" ht="30.75" customHeight="1" x14ac:dyDescent="0.25">
      <c r="A8" s="32" t="s">
        <v>3</v>
      </c>
      <c r="B8" s="32"/>
      <c r="C8" s="32"/>
      <c r="D8" s="32"/>
      <c r="E8" s="32"/>
      <c r="F8" s="32"/>
      <c r="G8" s="32"/>
      <c r="H8" s="32"/>
      <c r="I8" s="32"/>
      <c r="J8" s="32"/>
      <c r="K8" s="32"/>
      <c r="L8" s="32"/>
      <c r="M8" s="32"/>
    </row>
    <row r="9" spans="1:13" ht="35.25" customHeight="1" x14ac:dyDescent="0.25">
      <c r="A9" s="32"/>
      <c r="B9" s="32"/>
      <c r="C9" s="32"/>
      <c r="D9" s="32"/>
      <c r="E9" s="32"/>
      <c r="F9" s="32"/>
      <c r="G9" s="32"/>
      <c r="H9" s="32"/>
      <c r="I9" s="32"/>
      <c r="J9" s="32"/>
      <c r="K9" s="32"/>
      <c r="L9" s="32"/>
      <c r="M9" s="32"/>
    </row>
    <row r="10" spans="1:13" ht="98.25" customHeight="1" x14ac:dyDescent="0.25">
      <c r="A10" s="32"/>
      <c r="B10" s="32"/>
      <c r="C10" s="32"/>
      <c r="D10" s="32"/>
      <c r="E10" s="32"/>
      <c r="F10" s="32"/>
      <c r="G10" s="32"/>
      <c r="H10" s="32"/>
      <c r="I10" s="32"/>
      <c r="J10" s="32"/>
      <c r="K10" s="32"/>
      <c r="L10" s="32"/>
      <c r="M10" s="32"/>
    </row>
    <row r="11" spans="1:13" ht="15.75" thickBot="1" x14ac:dyDescent="0.3"/>
    <row r="12" spans="1:13" ht="30" customHeight="1" x14ac:dyDescent="0.25">
      <c r="A12" s="36" t="s">
        <v>4</v>
      </c>
      <c r="B12" s="7" t="s">
        <v>6</v>
      </c>
      <c r="C12" s="7" t="s">
        <v>9</v>
      </c>
      <c r="D12" s="7" t="s">
        <v>8</v>
      </c>
      <c r="E12" s="7" t="s">
        <v>8</v>
      </c>
      <c r="F12" s="7" t="s">
        <v>8</v>
      </c>
      <c r="G12" s="10" t="s">
        <v>12</v>
      </c>
      <c r="H12" s="10" t="s">
        <v>13</v>
      </c>
    </row>
    <row r="13" spans="1:13" ht="15.75" thickBot="1" x14ac:dyDescent="0.3">
      <c r="A13" s="37"/>
      <c r="B13" s="7" t="s">
        <v>7</v>
      </c>
      <c r="C13" s="7" t="s">
        <v>7</v>
      </c>
      <c r="D13" s="7" t="s">
        <v>7</v>
      </c>
      <c r="E13" s="7" t="s">
        <v>10</v>
      </c>
      <c r="F13" s="7" t="s">
        <v>11</v>
      </c>
      <c r="G13" s="10" t="s">
        <v>7</v>
      </c>
      <c r="H13" s="10" t="s">
        <v>7</v>
      </c>
    </row>
    <row r="14" spans="1:13" x14ac:dyDescent="0.25">
      <c r="A14" s="12">
        <v>1</v>
      </c>
      <c r="B14" s="9">
        <v>0</v>
      </c>
      <c r="C14" s="9">
        <v>0</v>
      </c>
      <c r="D14" s="9">
        <v>2.2000000000000002</v>
      </c>
      <c r="E14" s="9">
        <v>0</v>
      </c>
      <c r="F14" s="9">
        <v>2.2000000000000002</v>
      </c>
      <c r="G14" s="9">
        <v>0</v>
      </c>
      <c r="H14" s="9">
        <v>0</v>
      </c>
    </row>
    <row r="15" spans="1:13" x14ac:dyDescent="0.25">
      <c r="A15" s="13">
        <v>2</v>
      </c>
      <c r="B15" s="8">
        <v>1.4</v>
      </c>
      <c r="C15" s="8">
        <v>1.4</v>
      </c>
      <c r="D15" s="8">
        <v>1.2</v>
      </c>
      <c r="E15" s="8">
        <v>2.2000000000000002</v>
      </c>
      <c r="F15" s="8">
        <f>D15+E15</f>
        <v>3.4000000000000004</v>
      </c>
      <c r="G15" s="8">
        <f>E15-C15</f>
        <v>0.80000000000000027</v>
      </c>
      <c r="H15" s="8">
        <v>0</v>
      </c>
    </row>
    <row r="16" spans="1:13" x14ac:dyDescent="0.25">
      <c r="A16" s="13">
        <v>3</v>
      </c>
      <c r="B16" s="8">
        <v>2.1</v>
      </c>
      <c r="C16" s="8">
        <v>3.5</v>
      </c>
      <c r="D16" s="8">
        <v>0.3</v>
      </c>
      <c r="E16" s="8">
        <v>3.5</v>
      </c>
      <c r="F16" s="8">
        <f t="shared" ref="F16:F19" si="0">D16+E16</f>
        <v>3.8</v>
      </c>
      <c r="G16" s="8">
        <v>0</v>
      </c>
      <c r="H16" s="8">
        <v>0.1</v>
      </c>
    </row>
    <row r="17" spans="1:11" x14ac:dyDescent="0.25">
      <c r="A17" s="13">
        <v>4</v>
      </c>
      <c r="B17" s="8">
        <v>1.9</v>
      </c>
      <c r="C17" s="8">
        <v>5.4</v>
      </c>
      <c r="D17" s="8">
        <v>2.8</v>
      </c>
      <c r="E17" s="8">
        <v>5.4</v>
      </c>
      <c r="F17" s="8">
        <f t="shared" si="0"/>
        <v>8.1999999999999993</v>
      </c>
      <c r="G17" s="8">
        <v>0</v>
      </c>
      <c r="H17" s="8">
        <v>1.6</v>
      </c>
    </row>
    <row r="18" spans="1:11" x14ac:dyDescent="0.25">
      <c r="A18" s="13">
        <v>5</v>
      </c>
      <c r="B18" s="8">
        <v>0.2</v>
      </c>
      <c r="C18" s="8">
        <v>5.6</v>
      </c>
      <c r="D18" s="8">
        <v>0.2</v>
      </c>
      <c r="E18" s="8">
        <v>8.1999999999999993</v>
      </c>
      <c r="F18" s="8">
        <f t="shared" si="0"/>
        <v>8.3999999999999986</v>
      </c>
      <c r="G18" s="8">
        <f>E18-C18</f>
        <v>2.5999999999999996</v>
      </c>
      <c r="H18" s="8">
        <v>0</v>
      </c>
    </row>
    <row r="19" spans="1:11" x14ac:dyDescent="0.25">
      <c r="A19" s="13">
        <v>6</v>
      </c>
      <c r="B19" s="8">
        <v>1.5</v>
      </c>
      <c r="C19" s="8">
        <v>7.1</v>
      </c>
      <c r="D19" s="8">
        <v>1.8</v>
      </c>
      <c r="E19" s="8">
        <v>8.4</v>
      </c>
      <c r="F19" s="8">
        <f t="shared" si="0"/>
        <v>10.200000000000001</v>
      </c>
      <c r="G19" s="8">
        <f>E19-C19</f>
        <v>1.3000000000000007</v>
      </c>
      <c r="H19" s="8">
        <v>0</v>
      </c>
    </row>
    <row r="20" spans="1:11" x14ac:dyDescent="0.25">
      <c r="A20" s="8" t="s">
        <v>14</v>
      </c>
      <c r="B20" s="8"/>
      <c r="C20" s="8"/>
      <c r="D20" s="8">
        <f>SUM(D14:D19)</f>
        <v>8.5</v>
      </c>
      <c r="E20" s="8"/>
      <c r="F20" s="8"/>
      <c r="G20" s="8">
        <f>SUM(G14:G19)</f>
        <v>4.7000000000000011</v>
      </c>
      <c r="H20" s="8">
        <f>SUM(H14:H19)</f>
        <v>1.7000000000000002</v>
      </c>
    </row>
    <row r="22" spans="1:11" x14ac:dyDescent="0.25">
      <c r="A22" t="s">
        <v>17</v>
      </c>
      <c r="B22" s="5">
        <v>0</v>
      </c>
      <c r="C22" s="5" t="s">
        <v>19</v>
      </c>
      <c r="D22" s="5"/>
      <c r="E22" s="5"/>
      <c r="F22" s="5"/>
      <c r="G22" s="5"/>
      <c r="H22" s="5"/>
      <c r="I22" s="5"/>
      <c r="J22" s="5"/>
      <c r="K22" s="5"/>
    </row>
    <row r="23" spans="1:11" x14ac:dyDescent="0.25">
      <c r="A23" t="s">
        <v>18</v>
      </c>
      <c r="B23" s="5">
        <v>2</v>
      </c>
      <c r="C23" s="5" t="s">
        <v>15</v>
      </c>
      <c r="D23" s="5"/>
      <c r="E23" s="5"/>
      <c r="F23" s="5"/>
      <c r="G23" s="5"/>
      <c r="H23" s="5"/>
      <c r="I23" s="5"/>
      <c r="J23" s="5"/>
      <c r="K23" s="5"/>
    </row>
    <row r="24" spans="1:11" x14ac:dyDescent="0.25">
      <c r="A24" t="s">
        <v>16</v>
      </c>
      <c r="B24" s="5">
        <f>G20</f>
        <v>4.7000000000000011</v>
      </c>
      <c r="C24" s="5" t="s">
        <v>20</v>
      </c>
    </row>
    <row r="25" spans="1:11" x14ac:dyDescent="0.25">
      <c r="A25" t="s">
        <v>21</v>
      </c>
      <c r="B25" s="5">
        <f>G20/6</f>
        <v>0.78333333333333355</v>
      </c>
      <c r="C25" s="14" t="s">
        <v>20</v>
      </c>
    </row>
    <row r="26" spans="1:11" x14ac:dyDescent="0.25">
      <c r="A26" t="s">
        <v>22</v>
      </c>
      <c r="B26" s="5">
        <f>H20</f>
        <v>1.7000000000000002</v>
      </c>
      <c r="C26" s="14" t="s">
        <v>20</v>
      </c>
    </row>
    <row r="27" spans="1:11" x14ac:dyDescent="0.25">
      <c r="A27" t="s">
        <v>23</v>
      </c>
      <c r="B27" s="5">
        <f>D20/F19</f>
        <v>0.83333333333333326</v>
      </c>
      <c r="C27" s="15">
        <f>B27</f>
        <v>0.83333333333333326</v>
      </c>
    </row>
    <row r="30" spans="1:11" x14ac:dyDescent="0.25">
      <c r="A30" s="16" t="s">
        <v>35</v>
      </c>
    </row>
    <row r="31" spans="1:11" x14ac:dyDescent="0.25">
      <c r="A31" s="1"/>
    </row>
    <row r="32" spans="1:11" x14ac:dyDescent="0.25">
      <c r="A32" s="17" t="s">
        <v>24</v>
      </c>
    </row>
    <row r="33" spans="1:6" x14ac:dyDescent="0.25">
      <c r="A33" s="16" t="s">
        <v>25</v>
      </c>
    </row>
    <row r="34" spans="1:6" x14ac:dyDescent="0.25">
      <c r="A34" s="18"/>
    </row>
    <row r="35" spans="1:6" x14ac:dyDescent="0.25">
      <c r="A35" s="3" t="s">
        <v>5</v>
      </c>
      <c r="B35" s="3" t="s">
        <v>6</v>
      </c>
      <c r="C35" s="3" t="s">
        <v>8</v>
      </c>
      <c r="D35" s="3" t="s">
        <v>9</v>
      </c>
      <c r="E35" s="3" t="s">
        <v>8</v>
      </c>
      <c r="F35" s="3" t="s">
        <v>8</v>
      </c>
    </row>
    <row r="36" spans="1:6" ht="15.75" thickBot="1" x14ac:dyDescent="0.3">
      <c r="A36" s="6"/>
      <c r="B36" s="6" t="s">
        <v>7</v>
      </c>
      <c r="C36" s="6" t="s">
        <v>7</v>
      </c>
      <c r="D36" s="6" t="s">
        <v>7</v>
      </c>
      <c r="E36" s="6" t="s">
        <v>10</v>
      </c>
      <c r="F36" s="6" t="s">
        <v>11</v>
      </c>
    </row>
    <row r="37" spans="1:6" x14ac:dyDescent="0.25">
      <c r="A37" s="2">
        <v>1</v>
      </c>
      <c r="B37" s="3">
        <v>0</v>
      </c>
      <c r="C37" s="3">
        <v>2.5</v>
      </c>
      <c r="D37" s="3">
        <v>0</v>
      </c>
      <c r="E37" s="3">
        <v>0</v>
      </c>
      <c r="F37" s="3">
        <v>2.5</v>
      </c>
    </row>
    <row r="38" spans="1:6" x14ac:dyDescent="0.25">
      <c r="A38" s="2">
        <v>2</v>
      </c>
      <c r="B38" s="3">
        <v>1</v>
      </c>
      <c r="C38" s="19"/>
      <c r="D38" s="3">
        <v>1</v>
      </c>
      <c r="E38" s="19"/>
      <c r="F38" s="19"/>
    </row>
    <row r="39" spans="1:6" x14ac:dyDescent="0.25">
      <c r="A39" s="2">
        <v>3</v>
      </c>
      <c r="B39" s="3">
        <v>1</v>
      </c>
      <c r="C39" s="3">
        <v>2</v>
      </c>
      <c r="D39" s="3">
        <v>2</v>
      </c>
      <c r="E39" s="3">
        <v>2.5</v>
      </c>
      <c r="F39" s="3">
        <v>4.5</v>
      </c>
    </row>
    <row r="40" spans="1:6" x14ac:dyDescent="0.25">
      <c r="A40" s="2">
        <v>4</v>
      </c>
      <c r="B40" s="3">
        <v>1</v>
      </c>
      <c r="C40" s="19"/>
      <c r="D40" s="3">
        <v>3</v>
      </c>
      <c r="E40" s="19"/>
      <c r="F40" s="19"/>
    </row>
    <row r="41" spans="1:6" x14ac:dyDescent="0.25">
      <c r="A41" s="2">
        <v>5</v>
      </c>
      <c r="B41" s="3">
        <v>1</v>
      </c>
      <c r="C41" s="3">
        <v>3</v>
      </c>
      <c r="D41" s="3">
        <v>4</v>
      </c>
      <c r="E41" s="3">
        <v>4.5</v>
      </c>
      <c r="F41" s="3">
        <v>7.5</v>
      </c>
    </row>
    <row r="42" spans="1:6" x14ac:dyDescent="0.25">
      <c r="A42" s="2">
        <v>6</v>
      </c>
      <c r="B42" s="3">
        <v>1</v>
      </c>
      <c r="C42" s="3">
        <v>1.5</v>
      </c>
      <c r="D42" s="3">
        <v>5</v>
      </c>
      <c r="E42" s="3">
        <v>7.5</v>
      </c>
      <c r="F42" s="3">
        <v>9</v>
      </c>
    </row>
    <row r="43" spans="1:6" x14ac:dyDescent="0.25">
      <c r="A43" s="2">
        <v>7</v>
      </c>
      <c r="B43" s="3">
        <v>1</v>
      </c>
      <c r="C43" s="19"/>
      <c r="D43" s="3">
        <v>6</v>
      </c>
      <c r="E43" s="19"/>
      <c r="F43" s="19"/>
    </row>
    <row r="44" spans="1:6" x14ac:dyDescent="0.25">
      <c r="A44" s="2">
        <v>8</v>
      </c>
      <c r="B44" s="3">
        <v>1</v>
      </c>
      <c r="C44" s="3">
        <v>2</v>
      </c>
      <c r="D44" s="3">
        <v>7</v>
      </c>
      <c r="E44" s="3">
        <v>9</v>
      </c>
      <c r="F44" s="3">
        <v>11</v>
      </c>
    </row>
    <row r="45" spans="1:6" x14ac:dyDescent="0.25">
      <c r="A45" s="2">
        <v>9</v>
      </c>
      <c r="B45" s="3">
        <v>1</v>
      </c>
      <c r="C45" s="3">
        <v>1</v>
      </c>
      <c r="D45" s="3">
        <v>8</v>
      </c>
      <c r="E45" s="3">
        <v>11</v>
      </c>
      <c r="F45" s="3">
        <v>12</v>
      </c>
    </row>
    <row r="46" spans="1:6" x14ac:dyDescent="0.25">
      <c r="A46" s="2">
        <v>10</v>
      </c>
      <c r="B46" s="3">
        <v>1</v>
      </c>
      <c r="C46" s="19"/>
      <c r="D46" s="3">
        <v>9</v>
      </c>
      <c r="E46" s="19"/>
      <c r="F46" s="19"/>
    </row>
    <row r="47" spans="1:6" x14ac:dyDescent="0.25">
      <c r="A47" s="2">
        <v>11</v>
      </c>
      <c r="B47" s="3">
        <v>1</v>
      </c>
      <c r="C47" s="19"/>
      <c r="D47" s="3">
        <v>10</v>
      </c>
      <c r="E47" s="19"/>
      <c r="F47" s="19"/>
    </row>
    <row r="48" spans="1:6" x14ac:dyDescent="0.25">
      <c r="A48" s="2">
        <v>12</v>
      </c>
      <c r="B48" s="3">
        <v>1</v>
      </c>
      <c r="C48" s="19"/>
      <c r="D48" s="3">
        <v>11</v>
      </c>
      <c r="E48" s="19"/>
      <c r="F48" s="19"/>
    </row>
    <row r="49" spans="1:6" x14ac:dyDescent="0.25">
      <c r="A49" s="2">
        <v>13</v>
      </c>
      <c r="B49" s="3">
        <v>1</v>
      </c>
      <c r="C49" s="3">
        <v>2</v>
      </c>
      <c r="D49" s="3">
        <v>12</v>
      </c>
      <c r="E49" s="3">
        <v>12</v>
      </c>
      <c r="F49" s="3">
        <v>14</v>
      </c>
    </row>
    <row r="50" spans="1:6" x14ac:dyDescent="0.25">
      <c r="A50" s="2">
        <v>14</v>
      </c>
      <c r="B50" s="3">
        <v>1</v>
      </c>
      <c r="C50" s="19"/>
      <c r="D50" s="3">
        <v>13</v>
      </c>
      <c r="E50" s="19"/>
      <c r="F50" s="19"/>
    </row>
    <row r="51" spans="1:6" x14ac:dyDescent="0.25">
      <c r="A51" s="2">
        <v>15</v>
      </c>
      <c r="B51" s="3">
        <v>1</v>
      </c>
      <c r="C51" s="19"/>
      <c r="D51" s="3">
        <v>14</v>
      </c>
      <c r="E51" s="19"/>
      <c r="F51" s="19"/>
    </row>
    <row r="52" spans="1:6" x14ac:dyDescent="0.25">
      <c r="A52" s="2">
        <v>16</v>
      </c>
      <c r="B52" s="3">
        <v>1</v>
      </c>
      <c r="C52" s="3">
        <v>0.5</v>
      </c>
      <c r="D52" s="3">
        <v>15</v>
      </c>
      <c r="E52" s="3">
        <v>15</v>
      </c>
      <c r="F52" s="3">
        <v>15.5</v>
      </c>
    </row>
    <row r="53" spans="1:6" x14ac:dyDescent="0.25">
      <c r="A53" s="2">
        <v>17</v>
      </c>
      <c r="B53" s="3">
        <v>1</v>
      </c>
      <c r="C53" s="19"/>
      <c r="D53" s="3">
        <v>16</v>
      </c>
      <c r="E53" s="19"/>
      <c r="F53" s="19"/>
    </row>
    <row r="54" spans="1:6" x14ac:dyDescent="0.25">
      <c r="A54" s="2">
        <v>18</v>
      </c>
      <c r="B54" s="3">
        <v>1</v>
      </c>
      <c r="C54" s="3">
        <v>1.5</v>
      </c>
      <c r="D54" s="3">
        <v>17</v>
      </c>
      <c r="E54" s="3">
        <v>17</v>
      </c>
      <c r="F54" s="3">
        <v>18.5</v>
      </c>
    </row>
    <row r="55" spans="1:6" x14ac:dyDescent="0.25">
      <c r="A55" s="2">
        <v>19</v>
      </c>
      <c r="B55" s="3">
        <v>1</v>
      </c>
      <c r="C55" s="3">
        <v>3</v>
      </c>
      <c r="D55" s="3">
        <v>18</v>
      </c>
      <c r="E55" s="3">
        <v>18.5</v>
      </c>
      <c r="F55" s="3">
        <v>21.5</v>
      </c>
    </row>
    <row r="56" spans="1:6" x14ac:dyDescent="0.25">
      <c r="A56" s="2">
        <v>20</v>
      </c>
      <c r="B56" s="3">
        <v>1</v>
      </c>
      <c r="C56" s="20"/>
      <c r="D56" s="3">
        <v>19</v>
      </c>
      <c r="E56" s="20"/>
      <c r="F56" s="20"/>
    </row>
    <row r="59" spans="1:6" ht="15.75" thickBot="1" x14ac:dyDescent="0.3"/>
    <row r="60" spans="1:6" x14ac:dyDescent="0.25">
      <c r="A60" s="21" t="s">
        <v>5</v>
      </c>
      <c r="B60" s="11" t="s">
        <v>8</v>
      </c>
      <c r="C60" s="11" t="s">
        <v>9</v>
      </c>
      <c r="D60" s="11" t="s">
        <v>8</v>
      </c>
      <c r="E60" s="11" t="s">
        <v>8</v>
      </c>
      <c r="F60" s="22" t="s">
        <v>12</v>
      </c>
    </row>
    <row r="61" spans="1:6" x14ac:dyDescent="0.25">
      <c r="A61" s="23"/>
      <c r="B61" s="7" t="s">
        <v>7</v>
      </c>
      <c r="C61" s="7" t="s">
        <v>7</v>
      </c>
      <c r="D61" s="7" t="s">
        <v>10</v>
      </c>
      <c r="E61" s="7" t="s">
        <v>11</v>
      </c>
      <c r="F61" s="24" t="s">
        <v>7</v>
      </c>
    </row>
    <row r="62" spans="1:6" x14ac:dyDescent="0.25">
      <c r="A62" s="25">
        <v>1</v>
      </c>
      <c r="B62" s="7">
        <v>2.5</v>
      </c>
      <c r="C62" s="7">
        <v>0</v>
      </c>
      <c r="D62" s="7">
        <v>0</v>
      </c>
      <c r="E62" s="7">
        <f>B62</f>
        <v>2.5</v>
      </c>
      <c r="F62" s="26">
        <f>D62-C62</f>
        <v>0</v>
      </c>
    </row>
    <row r="63" spans="1:6" x14ac:dyDescent="0.25">
      <c r="A63" s="25">
        <v>3</v>
      </c>
      <c r="B63" s="7">
        <v>2</v>
      </c>
      <c r="C63" s="7">
        <v>2</v>
      </c>
      <c r="D63" s="7">
        <v>2.5</v>
      </c>
      <c r="E63" s="7">
        <f t="shared" ref="E63:E68" si="1">E62+B63</f>
        <v>4.5</v>
      </c>
      <c r="F63" s="26">
        <f t="shared" ref="F63:F71" si="2">D63-C63</f>
        <v>0.5</v>
      </c>
    </row>
    <row r="64" spans="1:6" x14ac:dyDescent="0.25">
      <c r="A64" s="25">
        <v>5</v>
      </c>
      <c r="B64" s="7">
        <v>3</v>
      </c>
      <c r="C64" s="7">
        <v>4</v>
      </c>
      <c r="D64" s="7">
        <v>4.5</v>
      </c>
      <c r="E64" s="7">
        <f t="shared" si="1"/>
        <v>7.5</v>
      </c>
      <c r="F64" s="26">
        <f t="shared" si="2"/>
        <v>0.5</v>
      </c>
    </row>
    <row r="65" spans="1:6" x14ac:dyDescent="0.25">
      <c r="A65" s="25">
        <v>6</v>
      </c>
      <c r="B65" s="7">
        <v>1.5</v>
      </c>
      <c r="C65" s="7">
        <v>5</v>
      </c>
      <c r="D65" s="7">
        <v>7.5</v>
      </c>
      <c r="E65" s="7">
        <f t="shared" si="1"/>
        <v>9</v>
      </c>
      <c r="F65" s="26">
        <f>D65-C65</f>
        <v>2.5</v>
      </c>
    </row>
    <row r="66" spans="1:6" x14ac:dyDescent="0.25">
      <c r="A66" s="25">
        <v>8</v>
      </c>
      <c r="B66" s="7">
        <v>2</v>
      </c>
      <c r="C66" s="7">
        <v>7</v>
      </c>
      <c r="D66" s="7">
        <v>9</v>
      </c>
      <c r="E66" s="7">
        <f t="shared" si="1"/>
        <v>11</v>
      </c>
      <c r="F66" s="26">
        <f t="shared" si="2"/>
        <v>2</v>
      </c>
    </row>
    <row r="67" spans="1:6" x14ac:dyDescent="0.25">
      <c r="A67" s="25">
        <v>9</v>
      </c>
      <c r="B67" s="7">
        <v>1</v>
      </c>
      <c r="C67" s="7">
        <v>8</v>
      </c>
      <c r="D67" s="7">
        <v>11</v>
      </c>
      <c r="E67" s="7">
        <f t="shared" si="1"/>
        <v>12</v>
      </c>
      <c r="F67" s="26">
        <f t="shared" si="2"/>
        <v>3</v>
      </c>
    </row>
    <row r="68" spans="1:6" x14ac:dyDescent="0.25">
      <c r="A68" s="25">
        <v>13</v>
      </c>
      <c r="B68" s="7">
        <v>2</v>
      </c>
      <c r="C68" s="7">
        <v>12</v>
      </c>
      <c r="D68" s="7">
        <v>12</v>
      </c>
      <c r="E68" s="7">
        <f t="shared" si="1"/>
        <v>14</v>
      </c>
      <c r="F68" s="26">
        <f t="shared" si="2"/>
        <v>0</v>
      </c>
    </row>
    <row r="69" spans="1:6" x14ac:dyDescent="0.25">
      <c r="A69" s="25">
        <v>16</v>
      </c>
      <c r="B69" s="7">
        <v>0.5</v>
      </c>
      <c r="C69" s="7">
        <v>15</v>
      </c>
      <c r="D69" s="7">
        <v>15</v>
      </c>
      <c r="E69" s="7">
        <f>D69+B69</f>
        <v>15.5</v>
      </c>
      <c r="F69" s="26">
        <f t="shared" si="2"/>
        <v>0</v>
      </c>
    </row>
    <row r="70" spans="1:6" x14ac:dyDescent="0.25">
      <c r="A70" s="25">
        <v>18</v>
      </c>
      <c r="B70" s="7">
        <v>1.5</v>
      </c>
      <c r="C70" s="7">
        <v>17</v>
      </c>
      <c r="D70" s="7">
        <v>17</v>
      </c>
      <c r="E70" s="7">
        <f t="shared" ref="E70:E71" si="3">D70+B70</f>
        <v>18.5</v>
      </c>
      <c r="F70" s="26">
        <f t="shared" si="2"/>
        <v>0</v>
      </c>
    </row>
    <row r="71" spans="1:6" x14ac:dyDescent="0.25">
      <c r="A71" s="25">
        <v>19</v>
      </c>
      <c r="B71" s="7">
        <v>3</v>
      </c>
      <c r="C71" s="7">
        <v>18</v>
      </c>
      <c r="D71" s="7">
        <v>18.5</v>
      </c>
      <c r="E71" s="7">
        <f t="shared" si="3"/>
        <v>21.5</v>
      </c>
      <c r="F71" s="26">
        <f t="shared" si="2"/>
        <v>0.5</v>
      </c>
    </row>
    <row r="72" spans="1:6" x14ac:dyDescent="0.25">
      <c r="A72" s="27" t="s">
        <v>14</v>
      </c>
      <c r="B72" s="8">
        <f>SUM(B62:B71)</f>
        <v>19</v>
      </c>
      <c r="C72" s="8"/>
      <c r="D72" s="8"/>
      <c r="E72" s="8"/>
      <c r="F72" s="26">
        <f>SUM(F62:F71)</f>
        <v>9</v>
      </c>
    </row>
    <row r="73" spans="1:6" x14ac:dyDescent="0.25">
      <c r="A73" s="27" t="s">
        <v>26</v>
      </c>
      <c r="B73" s="7">
        <v>10</v>
      </c>
      <c r="C73" s="8"/>
      <c r="D73" s="8"/>
      <c r="E73" s="8"/>
      <c r="F73" s="26"/>
    </row>
    <row r="74" spans="1:6" x14ac:dyDescent="0.25">
      <c r="A74" s="27" t="s">
        <v>16</v>
      </c>
      <c r="B74" s="8">
        <f>F72</f>
        <v>9</v>
      </c>
      <c r="C74" s="8"/>
      <c r="D74" s="8"/>
      <c r="E74" s="8"/>
      <c r="F74" s="26"/>
    </row>
    <row r="75" spans="1:6" ht="15.75" thickBot="1" x14ac:dyDescent="0.3">
      <c r="A75" s="28" t="s">
        <v>27</v>
      </c>
      <c r="B75" s="29">
        <f>B74/B73</f>
        <v>0.9</v>
      </c>
      <c r="C75" s="30"/>
      <c r="D75" s="30"/>
      <c r="E75" s="30"/>
      <c r="F75" s="31"/>
    </row>
    <row r="78" spans="1:6" ht="30" x14ac:dyDescent="0.25">
      <c r="A78" s="4" t="s">
        <v>28</v>
      </c>
      <c r="B78">
        <f>B72-1.5</f>
        <v>17.5</v>
      </c>
      <c r="C78" t="s">
        <v>37</v>
      </c>
    </row>
    <row r="79" spans="1:6" x14ac:dyDescent="0.25">
      <c r="A79" t="s">
        <v>29</v>
      </c>
      <c r="B79">
        <v>20</v>
      </c>
    </row>
    <row r="80" spans="1:6" x14ac:dyDescent="0.25">
      <c r="A80" s="5" t="s">
        <v>23</v>
      </c>
      <c r="B80" s="5">
        <f>B78/B79</f>
        <v>0.875</v>
      </c>
      <c r="C80" s="15">
        <f>B80</f>
        <v>0.875</v>
      </c>
    </row>
    <row r="83" spans="1:13" ht="43.5" customHeight="1" x14ac:dyDescent="0.25">
      <c r="A83" s="32" t="s">
        <v>34</v>
      </c>
      <c r="B83" s="32"/>
      <c r="C83" s="32"/>
      <c r="D83" s="32"/>
      <c r="E83" s="32"/>
      <c r="F83" s="32"/>
      <c r="G83" s="32"/>
      <c r="H83" s="32"/>
      <c r="I83" s="32"/>
      <c r="J83" s="32"/>
      <c r="K83" s="32"/>
      <c r="L83" s="32"/>
      <c r="M83" s="32"/>
    </row>
    <row r="84" spans="1:13" x14ac:dyDescent="0.25">
      <c r="A84" t="s">
        <v>30</v>
      </c>
    </row>
    <row r="85" spans="1:13" x14ac:dyDescent="0.25">
      <c r="A85" t="s">
        <v>31</v>
      </c>
    </row>
    <row r="86" spans="1:13" x14ac:dyDescent="0.25">
      <c r="A86" s="5" t="s">
        <v>32</v>
      </c>
    </row>
    <row r="87" spans="1:13" x14ac:dyDescent="0.25">
      <c r="A87" t="s">
        <v>33</v>
      </c>
    </row>
    <row r="90" spans="1:13" ht="65.25" customHeight="1" x14ac:dyDescent="0.25">
      <c r="A90" s="5" t="s">
        <v>36</v>
      </c>
      <c r="B90" s="33" t="s">
        <v>38</v>
      </c>
      <c r="C90" s="33"/>
      <c r="D90" s="33"/>
      <c r="E90" s="33"/>
      <c r="F90" s="33"/>
      <c r="G90" s="33"/>
      <c r="H90" s="33"/>
      <c r="I90" s="33"/>
      <c r="J90" s="33"/>
      <c r="K90" s="33"/>
      <c r="L90" s="33"/>
      <c r="M90" s="33"/>
    </row>
  </sheetData>
  <mergeCells count="6">
    <mergeCell ref="A83:M83"/>
    <mergeCell ref="B90:M90"/>
    <mergeCell ref="A1:M3"/>
    <mergeCell ref="A5:C5"/>
    <mergeCell ref="A8:M10"/>
    <mergeCell ref="A12:A13"/>
  </mergeCells>
  <pageMargins left="0.7" right="0.7" top="0.75" bottom="0.75" header="0.3" footer="0.3"/>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Mccoy, Jason C CIV USARMY PEO SOLDIER (USA)</dc:creator>
  <cp:lastModifiedBy>Mccoy, Jason C CIV USARMY PEO SOLDIER (USA)</cp:lastModifiedBy>
  <dcterms:created xsi:type="dcterms:W3CDTF">2026-01-11T15:21:59Z</dcterms:created>
  <dcterms:modified xsi:type="dcterms:W3CDTF">2026-01-13T23:35:32Z</dcterms:modified>
</cp:coreProperties>
</file>