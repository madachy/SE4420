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ps01-my.sharepoint.com/personal/william_t_bailey_nps_edu/Documents/Q6 -- Jan-Mar 2026/SE4420 - Modeling and Simulation in Acquisition/HW/"/>
    </mc:Choice>
  </mc:AlternateContent>
  <xr:revisionPtr revIDLastSave="240" documentId="8_{DE87B946-4767-4435-95EC-04E38EC33D68}" xr6:coauthVersionLast="47" xr6:coauthVersionMax="47" xr10:uidLastSave="{80B54630-E434-4B1A-8145-AFA5CBD03F12}"/>
  <bookViews>
    <workbookView xWindow="-108" yWindow="-108" windowWidth="38616" windowHeight="21096" xr2:uid="{3329C86D-8272-40B7-8715-8A1160717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6" i="1" l="1"/>
  <c r="C85" i="1"/>
  <c r="G85" i="1"/>
  <c r="G84" i="1"/>
  <c r="G60" i="1"/>
  <c r="D56" i="1"/>
  <c r="H56" i="1"/>
  <c r="H52" i="1"/>
  <c r="H53" i="1"/>
  <c r="G59" i="1"/>
  <c r="G58" i="1"/>
  <c r="G57" i="1"/>
  <c r="G56" i="1"/>
  <c r="G52" i="1"/>
  <c r="G53" i="1"/>
  <c r="G54" i="1"/>
  <c r="G55" i="1"/>
  <c r="G51" i="1"/>
  <c r="B14" i="1"/>
</calcChain>
</file>

<file path=xl/sharedStrings.xml><?xml version="1.0" encoding="utf-8"?>
<sst xmlns="http://schemas.openxmlformats.org/spreadsheetml/2006/main" count="30" uniqueCount="28">
  <si>
    <t xml:space="preserve">L_avg </t>
  </si>
  <si>
    <t>=(1/30)*((3*5)+(4*10)+(2*6)+(3*9))</t>
  </si>
  <si>
    <t>Arrival Times [hr]</t>
  </si>
  <si>
    <t>Service Times [hr]</t>
  </si>
  <si>
    <t>Pilot</t>
  </si>
  <si>
    <t>Service Start</t>
  </si>
  <si>
    <t>Service End</t>
  </si>
  <si>
    <t>Inter-Arrival Times [hr]</t>
  </si>
  <si>
    <t>Waiting Time [Hr]</t>
  </si>
  <si>
    <t>Total [hrs]</t>
  </si>
  <si>
    <t>Average Wait Time [hrs]</t>
  </si>
  <si>
    <t>Max Wait</t>
  </si>
  <si>
    <t>Min Wait</t>
  </si>
  <si>
    <t>Mechanic Idle Time [hrs]</t>
  </si>
  <si>
    <t>total</t>
  </si>
  <si>
    <t>Utilization</t>
  </si>
  <si>
    <t>Ship</t>
  </si>
  <si>
    <t>Inter-arrival Time</t>
  </si>
  <si>
    <t>Service Time</t>
  </si>
  <si>
    <t xml:space="preserve">Arrival Time </t>
  </si>
  <si>
    <t xml:space="preserve">Service Time </t>
  </si>
  <si>
    <t>Wait Time</t>
  </si>
  <si>
    <t>Total [days]</t>
  </si>
  <si>
    <t>Avg [days]</t>
  </si>
  <si>
    <t>Total available time [days]</t>
  </si>
  <si>
    <t>3 (only 1.5 days before day 20)</t>
  </si>
  <si>
    <t>Total busy time</t>
  </si>
  <si>
    <t>C - it will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</si>
</sst>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"/>
    <numFmt numFmtId="17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quotePrefix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right"/>
    </xf>
    <xf numFmtId="174" fontId="0" fillId="0" borderId="0" xfId="1" applyNumberFormat="1" applyFont="1" applyAlignment="1">
      <alignment horizontal="center"/>
    </xf>
    <xf numFmtId="174" fontId="0" fillId="0" borderId="3" xfId="1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4</xdr:row>
      <xdr:rowOff>60960</xdr:rowOff>
    </xdr:from>
    <xdr:to>
      <xdr:col>2</xdr:col>
      <xdr:colOff>731520</xdr:colOff>
      <xdr:row>11</xdr:row>
      <xdr:rowOff>48951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7C5611-C4EC-7DB4-590C-0971A30B4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792480"/>
          <a:ext cx="3131820" cy="1268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</xdr:colOff>
      <xdr:row>0</xdr:row>
      <xdr:rowOff>15240</xdr:rowOff>
    </xdr:from>
    <xdr:to>
      <xdr:col>6</xdr:col>
      <xdr:colOff>571500</xdr:colOff>
      <xdr:row>4</xdr:row>
      <xdr:rowOff>103030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4B6AB7-5A08-C6A9-AF62-EEE623847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" y="15240"/>
          <a:ext cx="8168640" cy="8193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5</xdr:col>
      <xdr:colOff>326674</xdr:colOff>
      <xdr:row>47</xdr:row>
      <xdr:rowOff>10292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F74290-B705-6641-B053-A02D2CA73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108960"/>
          <a:ext cx="6582694" cy="54966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5</xdr:col>
      <xdr:colOff>259989</xdr:colOff>
      <xdr:row>98</xdr:row>
      <xdr:rowOff>106925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809CE1-96B9-D97F-E291-8732D04E3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299180"/>
          <a:ext cx="6516009" cy="1752845"/>
        </a:xfrm>
        <a:prstGeom prst="rect">
          <a:avLst/>
        </a:prstGeom>
      </xdr:spPr>
    </xdr:pic>
    <xdr:clientData/>
  </xdr:twoCellAnchor>
  <xdr:twoCellAnchor>
    <xdr:from>
      <xdr:col>1</xdr:col>
      <xdr:colOff>60960</xdr:colOff>
      <xdr:row>100</xdr:row>
      <xdr:rowOff>26670</xdr:rowOff>
    </xdr:from>
    <xdr:to>
      <xdr:col>5</xdr:col>
      <xdr:colOff>1165860</xdr:colOff>
      <xdr:row>105</xdr:row>
      <xdr:rowOff>26670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5D63D1D-673A-9C6C-326D-A36689013E24}"/>
            </a:ext>
          </a:extLst>
        </xdr:cNvPr>
        <xdr:cNvSpPr txBox="1"/>
      </xdr:nvSpPr>
      <xdr:spPr>
        <a:xfrm>
          <a:off x="1173480" y="18337530"/>
          <a:ext cx="6248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With a second facility</a:t>
          </a:r>
          <a:r>
            <a:rPr lang="en-US" sz="1100" baseline="0"/>
            <a:t> pulling some of the work from the first, the 'busy time' will decrease causing the overall utilization to decrease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754B-4722-4BCB-84BD-0B68B86B44C1}">
  <dimension ref="A14:I101"/>
  <sheetViews>
    <sheetView tabSelected="1" topLeftCell="A54" workbookViewId="0">
      <selection activeCell="H107" sqref="H107"/>
    </sheetView>
  </sheetViews>
  <sheetFormatPr defaultRowHeight="14.4" x14ac:dyDescent="0.3"/>
  <cols>
    <col min="1" max="1" width="16.21875" style="1" bestFit="1" customWidth="1"/>
    <col min="2" max="2" width="18.88671875" style="1" bestFit="1" customWidth="1"/>
    <col min="3" max="3" width="29.88671875" style="1" bestFit="1" customWidth="1"/>
    <col min="4" max="4" width="15.21875" style="1" bestFit="1" customWidth="1"/>
    <col min="5" max="5" width="11" style="1" bestFit="1" customWidth="1"/>
    <col min="6" max="6" width="19.88671875" style="1" bestFit="1" customWidth="1"/>
    <col min="7" max="7" width="14.77734375" style="1" bestFit="1" customWidth="1"/>
    <col min="8" max="8" width="20.5546875" style="1" bestFit="1" customWidth="1"/>
    <col min="9" max="16384" width="8.88671875" style="1"/>
  </cols>
  <sheetData>
    <row r="14" spans="1:9" x14ac:dyDescent="0.3">
      <c r="A14" s="1" t="s">
        <v>0</v>
      </c>
      <c r="B14" s="2">
        <f>(1/30)*((3*5)+(4*10)+(2*6)+(3*9))</f>
        <v>3.1333333333333333</v>
      </c>
      <c r="C14" s="3" t="s">
        <v>1</v>
      </c>
    </row>
    <row r="16" spans="1:9" ht="15" thickBot="1" x14ac:dyDescent="0.35">
      <c r="A16" s="15"/>
      <c r="B16" s="15"/>
      <c r="C16" s="15"/>
      <c r="D16" s="15"/>
      <c r="E16" s="15"/>
      <c r="F16" s="15"/>
      <c r="G16" s="15"/>
      <c r="H16" s="15"/>
      <c r="I16" s="15"/>
    </row>
    <row r="49" spans="1:9" x14ac:dyDescent="0.3">
      <c r="A49" s="1" t="s">
        <v>4</v>
      </c>
      <c r="B49" s="1" t="s">
        <v>7</v>
      </c>
      <c r="C49" s="1" t="s">
        <v>2</v>
      </c>
      <c r="D49" s="1" t="s">
        <v>3</v>
      </c>
      <c r="E49" s="1" t="s">
        <v>5</v>
      </c>
      <c r="F49" s="1" t="s">
        <v>6</v>
      </c>
      <c r="G49" s="9" t="s">
        <v>8</v>
      </c>
      <c r="H49" s="9" t="s">
        <v>13</v>
      </c>
    </row>
    <row r="50" spans="1:9" x14ac:dyDescent="0.3">
      <c r="A50" s="1">
        <v>1</v>
      </c>
      <c r="B50" s="1">
        <v>0</v>
      </c>
      <c r="C50" s="1">
        <v>0</v>
      </c>
      <c r="D50" s="1">
        <v>2.2000000000000002</v>
      </c>
      <c r="E50" s="1">
        <v>0</v>
      </c>
      <c r="F50" s="1">
        <v>2.2000000000000002</v>
      </c>
      <c r="G50" s="10">
        <v>0</v>
      </c>
      <c r="H50" s="10">
        <v>0</v>
      </c>
    </row>
    <row r="51" spans="1:9" x14ac:dyDescent="0.3">
      <c r="A51" s="1">
        <v>2</v>
      </c>
      <c r="B51" s="1">
        <v>1.4</v>
      </c>
      <c r="C51" s="1">
        <v>1.4</v>
      </c>
      <c r="D51" s="1">
        <v>1.2</v>
      </c>
      <c r="E51" s="1">
        <v>2.2000000000000002</v>
      </c>
      <c r="F51" s="1">
        <v>3.4</v>
      </c>
      <c r="G51" s="10">
        <f>E51-C51</f>
        <v>0.80000000000000027</v>
      </c>
      <c r="H51" s="10">
        <v>0</v>
      </c>
    </row>
    <row r="52" spans="1:9" x14ac:dyDescent="0.3">
      <c r="A52" s="1">
        <v>3</v>
      </c>
      <c r="B52" s="1">
        <v>2.1</v>
      </c>
      <c r="C52" s="1">
        <v>3.5</v>
      </c>
      <c r="D52" s="1">
        <v>0.3</v>
      </c>
      <c r="E52" s="1">
        <v>3.5</v>
      </c>
      <c r="F52" s="1">
        <v>3.8</v>
      </c>
      <c r="G52" s="10">
        <f t="shared" ref="G52:G55" si="0">E52-C52</f>
        <v>0</v>
      </c>
      <c r="H52" s="10">
        <f t="shared" ref="H52:H58" si="1">C52-F51</f>
        <v>0.10000000000000009</v>
      </c>
    </row>
    <row r="53" spans="1:9" x14ac:dyDescent="0.3">
      <c r="A53" s="1">
        <v>4</v>
      </c>
      <c r="B53" s="1">
        <v>1.9</v>
      </c>
      <c r="C53" s="1">
        <v>5.4</v>
      </c>
      <c r="D53" s="1">
        <v>2.8</v>
      </c>
      <c r="E53" s="1">
        <v>5.4</v>
      </c>
      <c r="F53" s="1">
        <v>8.1999999999999993</v>
      </c>
      <c r="G53" s="10">
        <f t="shared" si="0"/>
        <v>0</v>
      </c>
      <c r="H53" s="10">
        <f t="shared" si="1"/>
        <v>1.6000000000000005</v>
      </c>
    </row>
    <row r="54" spans="1:9" x14ac:dyDescent="0.3">
      <c r="A54" s="1">
        <v>5</v>
      </c>
      <c r="B54" s="1">
        <v>0.2</v>
      </c>
      <c r="C54" s="1">
        <v>5.6</v>
      </c>
      <c r="D54" s="1">
        <v>0.2</v>
      </c>
      <c r="E54" s="1">
        <v>8.1999999999999993</v>
      </c>
      <c r="F54" s="1">
        <v>8.4</v>
      </c>
      <c r="G54" s="10">
        <f t="shared" si="0"/>
        <v>2.5999999999999996</v>
      </c>
      <c r="H54" s="10">
        <v>0</v>
      </c>
    </row>
    <row r="55" spans="1:9" x14ac:dyDescent="0.3">
      <c r="A55" s="1">
        <v>6</v>
      </c>
      <c r="B55" s="1">
        <v>1.5</v>
      </c>
      <c r="C55" s="1">
        <v>7.1</v>
      </c>
      <c r="D55" s="1">
        <v>1.8</v>
      </c>
      <c r="E55" s="1">
        <v>8.4</v>
      </c>
      <c r="F55" s="1">
        <v>10.199999999999999</v>
      </c>
      <c r="G55" s="11">
        <f t="shared" si="0"/>
        <v>1.3000000000000007</v>
      </c>
      <c r="H55" s="11">
        <v>0</v>
      </c>
    </row>
    <row r="56" spans="1:9" x14ac:dyDescent="0.3">
      <c r="C56" s="12" t="s">
        <v>14</v>
      </c>
      <c r="D56" s="5">
        <f>SUM(D50:D55)</f>
        <v>8.5</v>
      </c>
      <c r="F56" s="4" t="s">
        <v>9</v>
      </c>
      <c r="G56" s="5">
        <f>SUM(G50:G55)</f>
        <v>4.7000000000000011</v>
      </c>
      <c r="H56" s="8">
        <f>SUM(H50:H55)</f>
        <v>1.7000000000000006</v>
      </c>
    </row>
    <row r="57" spans="1:9" x14ac:dyDescent="0.3">
      <c r="F57" s="6" t="s">
        <v>10</v>
      </c>
      <c r="G57" s="7">
        <f>G56/6</f>
        <v>0.78333333333333355</v>
      </c>
    </row>
    <row r="58" spans="1:9" x14ac:dyDescent="0.3">
      <c r="F58" s="4" t="s">
        <v>11</v>
      </c>
      <c r="G58" s="5">
        <f>MAX(G50:G55)</f>
        <v>2.5999999999999996</v>
      </c>
    </row>
    <row r="59" spans="1:9" x14ac:dyDescent="0.3">
      <c r="F59" s="4" t="s">
        <v>12</v>
      </c>
      <c r="G59" s="5">
        <f>MIN(G50:G55)</f>
        <v>0</v>
      </c>
    </row>
    <row r="60" spans="1:9" x14ac:dyDescent="0.3">
      <c r="A60" s="16"/>
      <c r="B60" s="16"/>
      <c r="C60" s="16"/>
      <c r="D60" s="16"/>
      <c r="E60" s="16"/>
      <c r="F60" s="4" t="s">
        <v>15</v>
      </c>
      <c r="G60" s="14">
        <f>D56/F55</f>
        <v>0.83333333333333337</v>
      </c>
      <c r="H60" s="16"/>
      <c r="I60" s="16"/>
    </row>
    <row r="61" spans="1:9" ht="15" thickBot="1" x14ac:dyDescent="0.35">
      <c r="A61" s="15"/>
      <c r="B61" s="15"/>
      <c r="C61" s="15"/>
      <c r="D61" s="15"/>
      <c r="E61" s="15"/>
      <c r="F61" s="15"/>
      <c r="G61" s="15"/>
      <c r="H61" s="15"/>
      <c r="I61" s="15"/>
    </row>
    <row r="63" spans="1:9" x14ac:dyDescent="0.3">
      <c r="A63" s="1" t="s">
        <v>16</v>
      </c>
      <c r="B63" s="1" t="s">
        <v>17</v>
      </c>
      <c r="C63" s="1" t="s">
        <v>18</v>
      </c>
      <c r="D63" s="1" t="s">
        <v>19</v>
      </c>
      <c r="E63" s="1" t="s">
        <v>20</v>
      </c>
      <c r="F63" s="1" t="s">
        <v>6</v>
      </c>
      <c r="G63" s="1" t="s">
        <v>21</v>
      </c>
      <c r="H63" s="1" t="s">
        <v>24</v>
      </c>
      <c r="I63" s="1">
        <v>20</v>
      </c>
    </row>
    <row r="64" spans="1:9" x14ac:dyDescent="0.3">
      <c r="A64" s="1">
        <v>1</v>
      </c>
      <c r="B64" s="1">
        <v>0</v>
      </c>
      <c r="C64" s="1">
        <v>2.5</v>
      </c>
      <c r="D64" s="1">
        <v>0</v>
      </c>
      <c r="E64" s="1">
        <v>0</v>
      </c>
      <c r="F64" s="1">
        <v>2.5</v>
      </c>
      <c r="G64" s="1">
        <v>0</v>
      </c>
    </row>
    <row r="65" spans="1:7" x14ac:dyDescent="0.3">
      <c r="A65" s="1">
        <v>2</v>
      </c>
      <c r="B65" s="1">
        <v>1</v>
      </c>
      <c r="D65" s="1">
        <v>1</v>
      </c>
    </row>
    <row r="66" spans="1:7" x14ac:dyDescent="0.3">
      <c r="A66" s="1">
        <v>3</v>
      </c>
      <c r="B66" s="1">
        <v>1</v>
      </c>
      <c r="C66" s="1">
        <v>2</v>
      </c>
      <c r="D66" s="1">
        <v>2</v>
      </c>
      <c r="E66" s="1">
        <v>2.5</v>
      </c>
      <c r="F66" s="1">
        <v>4.5</v>
      </c>
      <c r="G66" s="1">
        <v>0.5</v>
      </c>
    </row>
    <row r="67" spans="1:7" x14ac:dyDescent="0.3">
      <c r="A67" s="1">
        <v>4</v>
      </c>
      <c r="B67" s="1">
        <v>1</v>
      </c>
      <c r="D67" s="1">
        <v>3</v>
      </c>
    </row>
    <row r="68" spans="1:7" x14ac:dyDescent="0.3">
      <c r="A68" s="1">
        <v>5</v>
      </c>
      <c r="B68" s="1">
        <v>1</v>
      </c>
      <c r="C68" s="1">
        <v>3</v>
      </c>
      <c r="D68" s="1">
        <v>4</v>
      </c>
      <c r="E68" s="1">
        <v>4.5</v>
      </c>
      <c r="F68" s="1">
        <v>7.5</v>
      </c>
      <c r="G68" s="1">
        <v>0.5</v>
      </c>
    </row>
    <row r="69" spans="1:7" x14ac:dyDescent="0.3">
      <c r="A69" s="1">
        <v>6</v>
      </c>
      <c r="B69" s="1">
        <v>1</v>
      </c>
      <c r="C69" s="1">
        <v>1.5</v>
      </c>
      <c r="D69" s="1">
        <v>5</v>
      </c>
      <c r="E69" s="1">
        <v>7.5</v>
      </c>
      <c r="F69" s="1">
        <v>9</v>
      </c>
      <c r="G69" s="1">
        <v>2.5</v>
      </c>
    </row>
    <row r="70" spans="1:7" x14ac:dyDescent="0.3">
      <c r="A70" s="1">
        <v>7</v>
      </c>
      <c r="B70" s="1">
        <v>1</v>
      </c>
      <c r="D70" s="1">
        <v>6</v>
      </c>
    </row>
    <row r="71" spans="1:7" x14ac:dyDescent="0.3">
      <c r="A71" s="1">
        <v>8</v>
      </c>
      <c r="B71" s="1">
        <v>1</v>
      </c>
      <c r="C71" s="1">
        <v>2</v>
      </c>
      <c r="D71" s="1">
        <v>7</v>
      </c>
      <c r="E71" s="1">
        <v>9</v>
      </c>
      <c r="F71" s="1">
        <v>11</v>
      </c>
      <c r="G71" s="1">
        <v>2</v>
      </c>
    </row>
    <row r="72" spans="1:7" x14ac:dyDescent="0.3">
      <c r="A72" s="1">
        <v>9</v>
      </c>
      <c r="B72" s="1">
        <v>1</v>
      </c>
      <c r="C72" s="1">
        <v>1</v>
      </c>
      <c r="D72" s="1">
        <v>8</v>
      </c>
      <c r="E72" s="1">
        <v>11</v>
      </c>
      <c r="F72" s="1">
        <v>12</v>
      </c>
      <c r="G72" s="1">
        <v>3</v>
      </c>
    </row>
    <row r="73" spans="1:7" x14ac:dyDescent="0.3">
      <c r="A73" s="1">
        <v>10</v>
      </c>
      <c r="B73" s="1">
        <v>1</v>
      </c>
      <c r="D73" s="1">
        <v>9</v>
      </c>
    </row>
    <row r="74" spans="1:7" x14ac:dyDescent="0.3">
      <c r="A74" s="1">
        <v>11</v>
      </c>
      <c r="B74" s="1">
        <v>1</v>
      </c>
      <c r="D74" s="1">
        <v>10</v>
      </c>
    </row>
    <row r="75" spans="1:7" x14ac:dyDescent="0.3">
      <c r="A75" s="1">
        <v>12</v>
      </c>
      <c r="B75" s="1">
        <v>1</v>
      </c>
      <c r="D75" s="1">
        <v>11</v>
      </c>
    </row>
    <row r="76" spans="1:7" x14ac:dyDescent="0.3">
      <c r="A76" s="1">
        <v>13</v>
      </c>
      <c r="B76" s="1">
        <v>1</v>
      </c>
      <c r="C76" s="1">
        <v>2</v>
      </c>
      <c r="D76" s="1">
        <v>12</v>
      </c>
      <c r="E76" s="1">
        <v>12</v>
      </c>
      <c r="F76" s="1">
        <v>14</v>
      </c>
      <c r="G76" s="1">
        <v>0</v>
      </c>
    </row>
    <row r="77" spans="1:7" x14ac:dyDescent="0.3">
      <c r="A77" s="1">
        <v>14</v>
      </c>
      <c r="B77" s="1">
        <v>1</v>
      </c>
      <c r="D77" s="1">
        <v>13</v>
      </c>
    </row>
    <row r="78" spans="1:7" x14ac:dyDescent="0.3">
      <c r="A78" s="1">
        <v>15</v>
      </c>
      <c r="B78" s="1">
        <v>1</v>
      </c>
      <c r="D78" s="1">
        <v>14</v>
      </c>
    </row>
    <row r="79" spans="1:7" x14ac:dyDescent="0.3">
      <c r="A79" s="1">
        <v>16</v>
      </c>
      <c r="B79" s="1">
        <v>1</v>
      </c>
      <c r="C79" s="1">
        <v>0.5</v>
      </c>
      <c r="D79" s="1">
        <v>15</v>
      </c>
      <c r="E79" s="1">
        <v>15</v>
      </c>
      <c r="F79" s="1">
        <v>15.5</v>
      </c>
      <c r="G79" s="1">
        <v>0</v>
      </c>
    </row>
    <row r="80" spans="1:7" x14ac:dyDescent="0.3">
      <c r="A80" s="1">
        <v>17</v>
      </c>
      <c r="B80" s="1">
        <v>1</v>
      </c>
      <c r="D80" s="1">
        <v>16</v>
      </c>
    </row>
    <row r="81" spans="1:9" x14ac:dyDescent="0.3">
      <c r="A81" s="1">
        <v>18</v>
      </c>
      <c r="B81" s="1">
        <v>1</v>
      </c>
      <c r="C81" s="1">
        <v>1.5</v>
      </c>
      <c r="D81" s="1">
        <v>17</v>
      </c>
      <c r="E81" s="1">
        <v>17</v>
      </c>
      <c r="F81" s="1">
        <v>18.5</v>
      </c>
      <c r="G81" s="1">
        <v>0</v>
      </c>
    </row>
    <row r="82" spans="1:9" x14ac:dyDescent="0.3">
      <c r="A82" s="1">
        <v>19</v>
      </c>
      <c r="B82" s="1">
        <v>1</v>
      </c>
      <c r="C82" s="1" t="s">
        <v>25</v>
      </c>
      <c r="D82" s="1">
        <v>18</v>
      </c>
      <c r="E82" s="1">
        <v>18.5</v>
      </c>
      <c r="F82" s="17">
        <v>21.5</v>
      </c>
      <c r="G82" s="1">
        <v>0.5</v>
      </c>
    </row>
    <row r="83" spans="1:9" x14ac:dyDescent="0.3">
      <c r="A83" s="1">
        <v>20</v>
      </c>
      <c r="B83" s="1">
        <v>1</v>
      </c>
      <c r="D83" s="1">
        <v>19</v>
      </c>
    </row>
    <row r="84" spans="1:9" x14ac:dyDescent="0.3">
      <c r="F84" s="1" t="s">
        <v>22</v>
      </c>
      <c r="G84" s="1">
        <f>SUM(G64:G83)</f>
        <v>9</v>
      </c>
    </row>
    <row r="85" spans="1:9" x14ac:dyDescent="0.3">
      <c r="B85" s="1" t="s">
        <v>26</v>
      </c>
      <c r="C85" s="1">
        <f>1.5+SUM(C64:C81)</f>
        <v>17.5</v>
      </c>
      <c r="F85" s="1" t="s">
        <v>23</v>
      </c>
      <c r="G85" s="1">
        <f>G84/10</f>
        <v>0.9</v>
      </c>
    </row>
    <row r="86" spans="1:9" x14ac:dyDescent="0.3">
      <c r="B86" s="1" t="s">
        <v>15</v>
      </c>
      <c r="C86" s="13">
        <f>C85/20</f>
        <v>0.875</v>
      </c>
    </row>
    <row r="87" spans="1:9" x14ac:dyDescent="0.3">
      <c r="A87" s="16"/>
      <c r="B87" s="16"/>
      <c r="C87" s="16"/>
      <c r="D87" s="16"/>
      <c r="E87" s="16"/>
      <c r="F87" s="16"/>
      <c r="G87" s="16"/>
      <c r="H87" s="16"/>
      <c r="I87" s="16"/>
    </row>
    <row r="88" spans="1:9" ht="15" thickBot="1" x14ac:dyDescent="0.35">
      <c r="A88" s="15"/>
      <c r="B88" s="15"/>
      <c r="C88" s="15"/>
      <c r="D88" s="15"/>
      <c r="E88" s="15"/>
      <c r="F88" s="15"/>
      <c r="G88" s="15"/>
      <c r="H88" s="15"/>
      <c r="I88" s="15"/>
    </row>
    <row r="101" spans="1:1" x14ac:dyDescent="0.3">
      <c r="A101" s="17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Naval Postgraduate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Bailey, William (CIV)</dc:creator>
  <cp:lastModifiedBy>Bailey, William (CIV)</cp:lastModifiedBy>
  <dcterms:created xsi:type="dcterms:W3CDTF">2026-01-10T21:41:58Z</dcterms:created>
  <dcterms:modified xsi:type="dcterms:W3CDTF">2026-01-11T05:31:20Z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bbd4a6-dc2f-44d9-ad2c-c28d4679873f_Enabled">
    <vt:lpwstr>true</vt:lpwstr>
  </property>
  <property fmtid="{D5CDD505-2E9C-101B-9397-08002B2CF9AE}" pid="3" name="MSIP_Label_acbbd4a6-dc2f-44d9-ad2c-c28d4679873f_SetDate">
    <vt:lpwstr>2026-01-10T21:42:10Z</vt:lpwstr>
  </property>
  <property fmtid="{D5CDD505-2E9C-101B-9397-08002B2CF9AE}" pid="4" name="MSIP_Label_acbbd4a6-dc2f-44d9-ad2c-c28d4679873f_Method">
    <vt:lpwstr>Standard</vt:lpwstr>
  </property>
  <property fmtid="{D5CDD505-2E9C-101B-9397-08002B2CF9AE}" pid="5" name="MSIP_Label_acbbd4a6-dc2f-44d9-ad2c-c28d4679873f_Name">
    <vt:lpwstr>No Label</vt:lpwstr>
  </property>
  <property fmtid="{D5CDD505-2E9C-101B-9397-08002B2CF9AE}" pid="6" name="MSIP_Label_acbbd4a6-dc2f-44d9-ad2c-c28d4679873f_SiteId">
    <vt:lpwstr>6d936231-a517-40ea-9199-f7578963378e</vt:lpwstr>
  </property>
  <property fmtid="{D5CDD505-2E9C-101B-9397-08002B2CF9AE}" pid="7" name="MSIP_Label_acbbd4a6-dc2f-44d9-ad2c-c28d4679873f_ActionId">
    <vt:lpwstr>cf5a689e-756f-427c-ab06-c75019718da2</vt:lpwstr>
  </property>
  <property fmtid="{D5CDD505-2E9C-101B-9397-08002B2CF9AE}" pid="8" name="MSIP_Label_acbbd4a6-dc2f-44d9-ad2c-c28d4679873f_ContentBits">
    <vt:lpwstr>0</vt:lpwstr>
  </property>
  <property fmtid="{D5CDD505-2E9C-101B-9397-08002B2CF9AE}" pid="9" name="MSIP_Label_acbbd4a6-dc2f-44d9-ad2c-c28d4679873f_Tag">
    <vt:lpwstr>10, 3, 0, 1</vt:lpwstr>
  </property>
</Properties>
</file>