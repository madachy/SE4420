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ps01-my.sharepoint.com/personal/andre_cotarobles_nps_edu/Documents/2QAY26/SE4420/Assignments/"/>
    </mc:Choice>
  </mc:AlternateContent>
  <xr:revisionPtr revIDLastSave="335" documentId="8_{1E77E402-A54A-4C4F-9765-DF6C63C89629}" xr6:coauthVersionLast="47" xr6:coauthVersionMax="47" xr10:uidLastSave="{BCCC95AB-536B-BE46-94F4-C6B080FE77D5}"/>
  <bookViews>
    <workbookView xWindow="1060" yWindow="900" windowWidth="28100" windowHeight="17180" xr2:uid="{92467F78-4345-B341-A702-54A9CD21DC94}"/>
  </bookViews>
  <sheets>
    <sheet name="Answer#1" sheetId="3" r:id="rId1"/>
    <sheet name="Answer#2" sheetId="1" r:id="rId2"/>
    <sheet name="Answer#3" sheetId="2" r:id="rId3"/>
    <sheet name="Answer#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F31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B6" i="3"/>
  <c r="B11" i="1"/>
  <c r="B10" i="1"/>
  <c r="E3" i="1"/>
  <c r="C12" i="1"/>
  <c r="C15" i="1"/>
  <c r="C14" i="1"/>
  <c r="C10" i="1"/>
  <c r="C11" i="1"/>
  <c r="K3" i="2"/>
  <c r="C13" i="1"/>
  <c r="G31" i="2"/>
  <c r="G30" i="2"/>
  <c r="C6" i="3"/>
  <c r="F30" i="2" l="1"/>
  <c r="E4" i="1"/>
  <c r="F4" i="1" l="1"/>
  <c r="H4" i="1" s="1"/>
  <c r="E5" i="1"/>
  <c r="I4" i="1"/>
  <c r="E6" i="1" l="1"/>
  <c r="G4" i="1"/>
  <c r="F5" i="1" l="1"/>
  <c r="H5" i="1" s="1"/>
  <c r="E7" i="1"/>
  <c r="I5" i="1"/>
  <c r="G5" i="1" l="1"/>
  <c r="E8" i="1"/>
  <c r="I6" i="1" l="1"/>
  <c r="F6" i="1"/>
  <c r="H6" i="1" s="1"/>
  <c r="G6" i="1" l="1"/>
  <c r="F7" i="1" l="1"/>
  <c r="H7" i="1" s="1"/>
  <c r="I7" i="1"/>
  <c r="G7" i="1" l="1"/>
  <c r="I8" i="1" l="1"/>
  <c r="B14" i="1" s="1"/>
  <c r="F8" i="1"/>
  <c r="H8" i="1" s="1"/>
  <c r="G8" i="1" l="1"/>
  <c r="B12" i="1" l="1"/>
  <c r="B13" i="1"/>
  <c r="B15" i="1"/>
</calcChain>
</file>

<file path=xl/sharedStrings.xml><?xml version="1.0" encoding="utf-8"?>
<sst xmlns="http://schemas.openxmlformats.org/spreadsheetml/2006/main" count="28" uniqueCount="28">
  <si>
    <t>Pilot</t>
  </si>
  <si>
    <t>Interarrival</t>
  </si>
  <si>
    <t>Service Times (Hr)</t>
  </si>
  <si>
    <t>Service Start</t>
  </si>
  <si>
    <t>Service End</t>
  </si>
  <si>
    <t>Mechanic Idle Time</t>
  </si>
  <si>
    <t>Arrival Clock Time</t>
  </si>
  <si>
    <t>Time Service End</t>
  </si>
  <si>
    <t>Time Service Start</t>
  </si>
  <si>
    <t xml:space="preserve">Minimum Queue Length: </t>
  </si>
  <si>
    <t xml:space="preserve">Maximum Queue Length: </t>
  </si>
  <si>
    <t>Total Idle Time for Mechanic:</t>
  </si>
  <si>
    <t>Resouce Utilization for the Mechanic:</t>
  </si>
  <si>
    <t>Interarrival Time</t>
  </si>
  <si>
    <t>Service Time</t>
  </si>
  <si>
    <t>Arrival Time</t>
  </si>
  <si>
    <t>Ship</t>
  </si>
  <si>
    <t>Lbar=</t>
  </si>
  <si>
    <t>c. It will decrease</t>
  </si>
  <si>
    <t>Wait Time</t>
  </si>
  <si>
    <t>Average Wait Time (days)</t>
  </si>
  <si>
    <t>Utilization</t>
  </si>
  <si>
    <t>Facility Use (20-days)</t>
  </si>
  <si>
    <t>Total Queue Time:</t>
  </si>
  <si>
    <t>Average Waiting Time in queue:</t>
  </si>
  <si>
    <t>Pilot Wait Time</t>
  </si>
  <si>
    <t>Queue Start</t>
  </si>
  <si>
    <t>Queue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</si>
</sst>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"/>
  </numFmts>
  <fonts count="6">
    <font>
      <sz val="12"/>
      <color theme="1"/>
      <name val="ArialMT"/>
      <family val="2"/>
    </font>
    <font>
      <sz val="12"/>
      <color theme="1"/>
      <name val="ArialMT"/>
      <family val="2"/>
    </font>
    <font>
      <sz val="16"/>
      <color rgb="FF1F1F1F"/>
      <name val="Arial"/>
      <family val="2"/>
    </font>
    <font>
      <sz val="12"/>
      <color rgb="FF1F1F1F"/>
      <name val="Arial"/>
      <family val="2"/>
    </font>
    <font>
      <sz val="14"/>
      <color rgb="FF000000"/>
      <name val="Arial"/>
      <family val="2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/>
    </xf>
    <xf numFmtId="0" fontId="2" fillId="0" borderId="0" xfId="0" applyFont="1"/>
    <xf numFmtId="0" fontId="0" fillId="2" borderId="2" xfId="0" applyFill="1" applyBorder="1" applyAlignment="1">
      <alignment horizontal="right"/>
    </xf>
    <xf numFmtId="165" fontId="0" fillId="2" borderId="3" xfId="0" applyNumberFormat="1" applyFill="1" applyBorder="1" applyAlignment="1">
      <alignment horizontal="left"/>
    </xf>
    <xf numFmtId="0" fontId="4" fillId="2" borderId="4" xfId="0" applyFont="1" applyFill="1" applyBorder="1" applyAlignment="1">
      <alignment horizontal="right"/>
    </xf>
    <xf numFmtId="0" fontId="0" fillId="2" borderId="5" xfId="0" applyFill="1" applyBorder="1" applyAlignment="1">
      <alignment horizontal="center"/>
    </xf>
    <xf numFmtId="0" fontId="4" fillId="2" borderId="6" xfId="0" applyFont="1" applyFill="1" applyBorder="1" applyAlignment="1">
      <alignment horizontal="right"/>
    </xf>
    <xf numFmtId="0" fontId="0" fillId="2" borderId="7" xfId="0" applyFill="1" applyBorder="1" applyAlignment="1">
      <alignment horizontal="center"/>
    </xf>
    <xf numFmtId="0" fontId="4" fillId="2" borderId="8" xfId="0" applyFont="1" applyFill="1" applyBorder="1" applyAlignment="1">
      <alignment horizontal="right"/>
    </xf>
    <xf numFmtId="10" fontId="0" fillId="2" borderId="9" xfId="1" applyNumberFormat="1" applyFont="1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165" fontId="0" fillId="2" borderId="7" xfId="0" applyNumberForma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5" xfId="0" applyFill="1" applyBorder="1" applyAlignment="1">
      <alignment horizontal="left"/>
    </xf>
    <xf numFmtId="0" fontId="0" fillId="2" borderId="8" xfId="0" applyFill="1" applyBorder="1" applyAlignment="1">
      <alignment horizontal="right"/>
    </xf>
    <xf numFmtId="164" fontId="0" fillId="2" borderId="9" xfId="1" applyNumberFormat="1" applyFont="1" applyFill="1" applyBorder="1" applyAlignment="1">
      <alignment horizontal="left"/>
    </xf>
  </cellXfs>
  <cellStyles count="2">
    <cellStyle name="Normal" xfId="0" builtinId="0"/>
    <cellStyle name="Percent" xfId="1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1F1F1F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50800</xdr:colOff>
      <xdr:row>4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C2F032-68D4-EFF4-40FC-9B5819E2A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5800" cy="927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1168400</xdr:colOff>
      <xdr:row>28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CC5E4E-FBC1-CD29-32FA-02EDF0DC6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5105400"/>
          <a:ext cx="1955800" cy="9271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8C5650-1EDA-124D-B385-C2F10CB274B6}" name="Table1" displayName="Table1" ref="B2:I22" totalsRowShown="0" headerRowDxfId="12" dataDxfId="10" headerRowBorderDxfId="11" tableBorderDxfId="9" totalsRowBorderDxfId="8">
  <autoFilter ref="B2:I22" xr:uid="{DA8C5650-1EDA-124D-B385-C2F10CB274B6}"/>
  <tableColumns count="8">
    <tableColumn id="1" xr3:uid="{87B80FA5-EB65-B544-8A29-3D00A5BE5F29}" name="Ship" dataDxfId="7"/>
    <tableColumn id="2" xr3:uid="{D837E489-62AE-F948-805E-0F9880D5DDAA}" name="Interarrival Time" dataDxfId="6"/>
    <tableColumn id="3" xr3:uid="{EFA8A6AB-C736-2349-9F87-070A1E8F2989}" name="Service Time" dataDxfId="5"/>
    <tableColumn id="4" xr3:uid="{9B4B63D0-DFB8-A64B-84F5-565FAF524921}" name="Arrival Time" dataDxfId="4"/>
    <tableColumn id="5" xr3:uid="{D4D1BEFB-6E05-C542-8C57-BBFBA2121429}" name="Service Start" dataDxfId="3"/>
    <tableColumn id="6" xr3:uid="{4D846AAA-0F31-5943-B3BC-7DBA3DC25A4C}" name="Service End" dataDxfId="2"/>
    <tableColumn id="7" xr3:uid="{42D3E123-DF40-FD40-B92F-1EC7DF543927}" name="Wait Time" dataDxfId="1">
      <calculatedColumnFormula>IF(Table1[[#This Row],[Service Start]]-Table1[[#This Row],[Arrival Time]] &gt;=0,Table1[[#This Row],[Service Start]]-Table1[[#This Row],[Arrival Time]],"")</calculatedColumnFormula>
    </tableColumn>
    <tableColumn id="8" xr3:uid="{5D0EE979-E93B-144D-906C-16255E6BE9DB}" name="Facility Use (20-days)" dataDxfId="0">
      <calculatedColumnFormula>IF(Table1[[#This Row],[Service End]]&gt;20,20-Table1[[#This Row],[Service Start]],Table1[[#This Row],[Service End]]-Table1[[#This Row],[Service Start]])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0D27B-896F-A740-81DF-610EAE5AA683}">
  <dimension ref="A5:C6"/>
  <sheetViews>
    <sheetView showGridLines="0" tabSelected="1" zoomScale="99" workbookViewId="0">
      <selection activeCell="A7" sqref="A7"/>
    </sheetView>
  </sheetViews>
  <sheetFormatPr baseColWidth="10" defaultRowHeight="16"/>
  <sheetData>
    <row r="5" spans="1:3" ht="17" thickBot="1"/>
    <row r="6" spans="1:3" ht="17" thickBot="1">
      <c r="A6" s="8" t="s">
        <v>17</v>
      </c>
      <c r="B6" s="9">
        <f>((3*5)+(4*10)+(2*6)+(3*9))/30</f>
        <v>3.1333333333333333</v>
      </c>
      <c r="C6" t="str">
        <f ca="1">_xlfn.FORMULATEXT(B6)</f>
        <v>=((3*5)+(4*10)+(2*6)+(3*9))/30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7A2D-671C-C348-BE53-D005050B85E0}">
  <dimension ref="A2:K15"/>
  <sheetViews>
    <sheetView showGridLines="0" workbookViewId="0">
      <selection activeCell="B2" sqref="B2:K8"/>
    </sheetView>
  </sheetViews>
  <sheetFormatPr baseColWidth="10" defaultRowHeight="16"/>
  <cols>
    <col min="1" max="1" width="50.5703125" customWidth="1"/>
  </cols>
  <sheetData>
    <row r="2" spans="1:11" s="1" customFormat="1" ht="51">
      <c r="B2" s="2" t="s">
        <v>0</v>
      </c>
      <c r="C2" s="2" t="s">
        <v>1</v>
      </c>
      <c r="D2" s="2" t="s">
        <v>2</v>
      </c>
      <c r="E2" s="2" t="s">
        <v>6</v>
      </c>
      <c r="F2" s="2" t="s">
        <v>8</v>
      </c>
      <c r="G2" s="2" t="s">
        <v>7</v>
      </c>
      <c r="H2" s="2" t="s">
        <v>25</v>
      </c>
      <c r="I2" s="2" t="s">
        <v>5</v>
      </c>
      <c r="J2" s="2" t="s">
        <v>26</v>
      </c>
      <c r="K2" s="5" t="s">
        <v>27</v>
      </c>
    </row>
    <row r="3" spans="1:11">
      <c r="B3" s="3">
        <v>1</v>
      </c>
      <c r="C3" s="4">
        <v>0</v>
      </c>
      <c r="D3" s="4">
        <v>2.2000000000000002</v>
      </c>
      <c r="E3" s="3">
        <f>C3</f>
        <v>0</v>
      </c>
      <c r="F3" s="3">
        <v>0</v>
      </c>
      <c r="G3" s="3">
        <v>2.2000000000000002</v>
      </c>
      <c r="H3" s="3">
        <v>0</v>
      </c>
      <c r="I3" s="3">
        <v>0</v>
      </c>
      <c r="J3" s="3">
        <v>1</v>
      </c>
      <c r="K3" s="3">
        <v>1</v>
      </c>
    </row>
    <row r="4" spans="1:11">
      <c r="B4" s="3">
        <v>2</v>
      </c>
      <c r="C4" s="3">
        <v>1.4</v>
      </c>
      <c r="D4" s="3">
        <v>1.2</v>
      </c>
      <c r="E4" s="3">
        <f>E3+C4</f>
        <v>1.4</v>
      </c>
      <c r="F4" s="3">
        <f>MAX(G3,E4)</f>
        <v>2.2000000000000002</v>
      </c>
      <c r="G4" s="3">
        <f>F4+D4</f>
        <v>3.4000000000000004</v>
      </c>
      <c r="H4" s="3">
        <f>F4-E4</f>
        <v>0.80000000000000027</v>
      </c>
      <c r="I4" s="3">
        <f>MAX(0,E4-G3)</f>
        <v>0</v>
      </c>
      <c r="J4" s="3">
        <v>0</v>
      </c>
      <c r="K4" s="3">
        <v>0</v>
      </c>
    </row>
    <row r="5" spans="1:11">
      <c r="B5" s="3">
        <v>3</v>
      </c>
      <c r="C5" s="3">
        <v>2.1</v>
      </c>
      <c r="D5" s="3">
        <v>0.3</v>
      </c>
      <c r="E5" s="3">
        <f t="shared" ref="E5:E8" si="0">E4+C5</f>
        <v>3.5</v>
      </c>
      <c r="F5" s="3">
        <f t="shared" ref="F5:F8" si="1">MAX(G4,E5)</f>
        <v>3.5</v>
      </c>
      <c r="G5" s="3">
        <f t="shared" ref="G5:G8" si="2">F5+D5</f>
        <v>3.8</v>
      </c>
      <c r="H5" s="3">
        <f t="shared" ref="H5:H8" si="3">F5-E5</f>
        <v>0</v>
      </c>
      <c r="I5" s="3">
        <f t="shared" ref="I5:I8" si="4">MAX(0,E5-G4)</f>
        <v>9.9999999999999645E-2</v>
      </c>
      <c r="J5" s="3">
        <v>0</v>
      </c>
      <c r="K5" s="3">
        <v>0</v>
      </c>
    </row>
    <row r="6" spans="1:11">
      <c r="B6" s="3">
        <v>4</v>
      </c>
      <c r="C6" s="3">
        <v>1.9</v>
      </c>
      <c r="D6" s="3">
        <v>2.8</v>
      </c>
      <c r="E6" s="3">
        <f>E5+C6</f>
        <v>5.4</v>
      </c>
      <c r="F6" s="3">
        <f t="shared" si="1"/>
        <v>5.4</v>
      </c>
      <c r="G6" s="3">
        <f t="shared" si="2"/>
        <v>8.1999999999999993</v>
      </c>
      <c r="H6" s="3">
        <f t="shared" si="3"/>
        <v>0</v>
      </c>
      <c r="I6" s="3">
        <f t="shared" si="4"/>
        <v>1.6000000000000005</v>
      </c>
      <c r="J6" s="3">
        <v>0</v>
      </c>
      <c r="K6" s="3">
        <v>2</v>
      </c>
    </row>
    <row r="7" spans="1:11">
      <c r="B7" s="3">
        <v>5</v>
      </c>
      <c r="C7" s="3">
        <v>0.2</v>
      </c>
      <c r="D7" s="3">
        <v>0.2</v>
      </c>
      <c r="E7" s="3">
        <f t="shared" si="0"/>
        <v>5.6000000000000005</v>
      </c>
      <c r="F7" s="3">
        <f t="shared" si="1"/>
        <v>8.1999999999999993</v>
      </c>
      <c r="G7" s="3">
        <f t="shared" si="2"/>
        <v>8.3999999999999986</v>
      </c>
      <c r="H7" s="3">
        <f t="shared" si="3"/>
        <v>2.5999999999999988</v>
      </c>
      <c r="I7" s="3">
        <f t="shared" si="4"/>
        <v>0</v>
      </c>
      <c r="J7" s="3">
        <v>2</v>
      </c>
      <c r="K7" s="3">
        <v>1</v>
      </c>
    </row>
    <row r="8" spans="1:11">
      <c r="B8" s="3">
        <v>6</v>
      </c>
      <c r="C8" s="3">
        <v>1.5</v>
      </c>
      <c r="D8" s="3">
        <v>1.8</v>
      </c>
      <c r="E8" s="3">
        <f t="shared" si="0"/>
        <v>7.1000000000000005</v>
      </c>
      <c r="F8" s="3">
        <f t="shared" si="1"/>
        <v>8.3999999999999986</v>
      </c>
      <c r="G8" s="3">
        <f t="shared" si="2"/>
        <v>10.199999999999999</v>
      </c>
      <c r="H8" s="3">
        <f t="shared" si="3"/>
        <v>1.299999999999998</v>
      </c>
      <c r="I8" s="3">
        <f t="shared" si="4"/>
        <v>0</v>
      </c>
      <c r="J8" s="3">
        <v>0</v>
      </c>
      <c r="K8" s="3">
        <v>0</v>
      </c>
    </row>
    <row r="9" spans="1:11" ht="17" thickBot="1"/>
    <row r="10" spans="1:11" ht="18">
      <c r="A10" s="10" t="s">
        <v>9</v>
      </c>
      <c r="B10" s="11">
        <f>MIN(J3:J8)</f>
        <v>0</v>
      </c>
      <c r="C10" t="str">
        <f t="shared" ref="C10:C15" ca="1" si="5">_xlfn.FORMULATEXT(B10)</f>
        <v>=MIN(J3:J8)</v>
      </c>
    </row>
    <row r="11" spans="1:11" ht="18">
      <c r="A11" s="12" t="s">
        <v>10</v>
      </c>
      <c r="B11" s="13">
        <f>MAX(J3:J8)</f>
        <v>2</v>
      </c>
      <c r="C11" t="str">
        <f t="shared" ca="1" si="5"/>
        <v>=MAX(J3:J8)</v>
      </c>
    </row>
    <row r="12" spans="1:11" ht="18">
      <c r="A12" s="12" t="s">
        <v>23</v>
      </c>
      <c r="B12" s="13">
        <f>SUM(H3:H8)</f>
        <v>4.6999999999999975</v>
      </c>
      <c r="C12" t="str">
        <f t="shared" ca="1" si="5"/>
        <v>=SUM(H3:H8)</v>
      </c>
    </row>
    <row r="13" spans="1:11" ht="20">
      <c r="A13" s="12" t="s">
        <v>24</v>
      </c>
      <c r="B13" s="24">
        <f>AVERAGE(H3:H8)</f>
        <v>0.78333333333333288</v>
      </c>
      <c r="C13" t="str">
        <f t="shared" ca="1" si="5"/>
        <v>=AVERAGE(H3:H8)</v>
      </c>
      <c r="H13" s="7"/>
    </row>
    <row r="14" spans="1:11" ht="20">
      <c r="A14" s="12" t="s">
        <v>11</v>
      </c>
      <c r="B14" s="13">
        <f>SUM(I3:I8)</f>
        <v>1.7000000000000002</v>
      </c>
      <c r="C14" t="str">
        <f t="shared" ca="1" si="5"/>
        <v>=SUM(I3:I8)</v>
      </c>
      <c r="H14" s="7"/>
    </row>
    <row r="15" spans="1:11" ht="21" thickBot="1">
      <c r="A15" s="14" t="s">
        <v>12</v>
      </c>
      <c r="B15" s="15">
        <f>SUM(D3:D8)/G8</f>
        <v>0.83333333333333337</v>
      </c>
      <c r="C15" t="str">
        <f t="shared" ca="1" si="5"/>
        <v>=SUM(D3:D8)/G8</v>
      </c>
      <c r="H1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AF2EF-0CDB-6149-A062-1E4675A1B4E7}">
  <dimension ref="B2:K31"/>
  <sheetViews>
    <sheetView showGridLines="0" workbookViewId="0">
      <selection activeCell="L16" sqref="L16"/>
    </sheetView>
  </sheetViews>
  <sheetFormatPr baseColWidth="10" defaultRowHeight="16"/>
  <cols>
    <col min="2" max="2" width="8.85546875" bestFit="1" customWidth="1"/>
    <col min="3" max="3" width="18.7109375" bestFit="1" customWidth="1"/>
    <col min="4" max="4" width="16" bestFit="1" customWidth="1"/>
    <col min="5" max="5" width="21.28515625" bestFit="1" customWidth="1"/>
    <col min="6" max="6" width="16" bestFit="1" customWidth="1"/>
    <col min="7" max="7" width="18.7109375" customWidth="1"/>
    <col min="8" max="8" width="13.28515625" bestFit="1" customWidth="1"/>
    <col min="9" max="9" width="25.140625" customWidth="1"/>
  </cols>
  <sheetData>
    <row r="2" spans="2:11" s="1" customFormat="1">
      <c r="B2" s="25" t="s">
        <v>16</v>
      </c>
      <c r="C2" s="26" t="s">
        <v>13</v>
      </c>
      <c r="D2" s="26" t="s">
        <v>14</v>
      </c>
      <c r="E2" s="26" t="s">
        <v>15</v>
      </c>
      <c r="F2" s="26" t="s">
        <v>3</v>
      </c>
      <c r="G2" s="27" t="s">
        <v>4</v>
      </c>
      <c r="H2" s="26" t="s">
        <v>19</v>
      </c>
      <c r="I2" s="26" t="s">
        <v>22</v>
      </c>
    </row>
    <row r="3" spans="2:11">
      <c r="B3" s="18">
        <v>1</v>
      </c>
      <c r="C3" s="6">
        <v>0</v>
      </c>
      <c r="D3" s="6">
        <v>2.5</v>
      </c>
      <c r="E3" s="6">
        <v>0</v>
      </c>
      <c r="F3" s="6">
        <v>0</v>
      </c>
      <c r="G3" s="19">
        <v>2.5</v>
      </c>
      <c r="H3" s="23">
        <f>IF(Table1[[#This Row],[Service Start]]-Table1[[#This Row],[Arrival Time]] &gt;=0,Table1[[#This Row],[Service Start]]-Table1[[#This Row],[Arrival Time]],"")</f>
        <v>0</v>
      </c>
      <c r="I3" s="23">
        <f>IF(Table1[[#This Row],[Service End]]&gt;20,20-Table1[[#This Row],[Service Start]],Table1[[#This Row],[Service End]]-Table1[[#This Row],[Service Start]])</f>
        <v>2.5</v>
      </c>
      <c r="K3" t="str">
        <f ca="1">_xlfn.FORMULATEXT(Table1[[#This Row],[Facility Use (20-days)]])</f>
        <v>=IF([@[Service End]]&gt;20,20-[@[Service Start]],[@[Service End]]-[@[Service Start]])</v>
      </c>
    </row>
    <row r="4" spans="2:11">
      <c r="B4" s="18">
        <v>2</v>
      </c>
      <c r="C4" s="6">
        <v>1</v>
      </c>
      <c r="D4" s="6"/>
      <c r="E4" s="6">
        <v>1</v>
      </c>
      <c r="F4" s="6"/>
      <c r="G4" s="19"/>
      <c r="H4" s="6" t="str">
        <f>IF(Table1[[#This Row],[Service Start]]-Table1[[#This Row],[Arrival Time]] &gt;=0,Table1[[#This Row],[Service Start]]-Table1[[#This Row],[Arrival Time]],"")</f>
        <v/>
      </c>
      <c r="I4" s="6">
        <f>IF(Table1[[#This Row],[Service End]]&gt;20,20-Table1[[#This Row],[Service Start]],Table1[[#This Row],[Service End]]-Table1[[#This Row],[Service Start]])</f>
        <v>0</v>
      </c>
    </row>
    <row r="5" spans="2:11">
      <c r="B5" s="18">
        <v>3</v>
      </c>
      <c r="C5" s="6">
        <v>1</v>
      </c>
      <c r="D5" s="6">
        <v>2</v>
      </c>
      <c r="E5" s="6">
        <v>2</v>
      </c>
      <c r="F5" s="6">
        <v>2.5</v>
      </c>
      <c r="G5" s="19">
        <v>4.5</v>
      </c>
      <c r="H5" s="6">
        <f>IF(Table1[[#This Row],[Service Start]]-Table1[[#This Row],[Arrival Time]] &gt;=0,Table1[[#This Row],[Service Start]]-Table1[[#This Row],[Arrival Time]],"")</f>
        <v>0.5</v>
      </c>
      <c r="I5" s="6">
        <f>IF(Table1[[#This Row],[Service End]]&gt;20,20-Table1[[#This Row],[Service Start]],Table1[[#This Row],[Service End]]-Table1[[#This Row],[Service Start]])</f>
        <v>2</v>
      </c>
    </row>
    <row r="6" spans="2:11">
      <c r="B6" s="18">
        <v>4</v>
      </c>
      <c r="C6" s="6">
        <v>1</v>
      </c>
      <c r="D6" s="6"/>
      <c r="E6" s="6">
        <v>3</v>
      </c>
      <c r="F6" s="6"/>
      <c r="G6" s="19"/>
      <c r="H6" s="6" t="str">
        <f>IF(Table1[[#This Row],[Service Start]]-Table1[[#This Row],[Arrival Time]] &gt;=0,Table1[[#This Row],[Service Start]]-Table1[[#This Row],[Arrival Time]],"")</f>
        <v/>
      </c>
      <c r="I6" s="6">
        <f>IF(Table1[[#This Row],[Service End]]&gt;20,20-Table1[[#This Row],[Service Start]],Table1[[#This Row],[Service End]]-Table1[[#This Row],[Service Start]])</f>
        <v>0</v>
      </c>
    </row>
    <row r="7" spans="2:11">
      <c r="B7" s="18">
        <v>5</v>
      </c>
      <c r="C7" s="6">
        <v>1</v>
      </c>
      <c r="D7" s="6">
        <v>3</v>
      </c>
      <c r="E7" s="6">
        <v>4</v>
      </c>
      <c r="F7" s="6">
        <v>4.5</v>
      </c>
      <c r="G7" s="19">
        <v>7.5</v>
      </c>
      <c r="H7" s="6">
        <f>IF(Table1[[#This Row],[Service Start]]-Table1[[#This Row],[Arrival Time]] &gt;=0,Table1[[#This Row],[Service Start]]-Table1[[#This Row],[Arrival Time]],"")</f>
        <v>0.5</v>
      </c>
      <c r="I7" s="6">
        <f>IF(Table1[[#This Row],[Service End]]&gt;20,20-Table1[[#This Row],[Service Start]],Table1[[#This Row],[Service End]]-Table1[[#This Row],[Service Start]])</f>
        <v>3</v>
      </c>
    </row>
    <row r="8" spans="2:11">
      <c r="B8" s="18">
        <v>6</v>
      </c>
      <c r="C8" s="6">
        <v>1</v>
      </c>
      <c r="D8" s="6">
        <v>1.5</v>
      </c>
      <c r="E8" s="6">
        <v>5</v>
      </c>
      <c r="F8" s="6">
        <v>7.5</v>
      </c>
      <c r="G8" s="19">
        <v>9</v>
      </c>
      <c r="H8" s="6">
        <f>IF(Table1[[#This Row],[Service Start]]-Table1[[#This Row],[Arrival Time]] &gt;=0,Table1[[#This Row],[Service Start]]-Table1[[#This Row],[Arrival Time]],"")</f>
        <v>2.5</v>
      </c>
      <c r="I8" s="6">
        <f>IF(Table1[[#This Row],[Service End]]&gt;20,20-Table1[[#This Row],[Service Start]],Table1[[#This Row],[Service End]]-Table1[[#This Row],[Service Start]])</f>
        <v>1.5</v>
      </c>
    </row>
    <row r="9" spans="2:11">
      <c r="B9" s="18">
        <v>7</v>
      </c>
      <c r="C9" s="6">
        <v>1</v>
      </c>
      <c r="D9" s="6"/>
      <c r="E9" s="6">
        <v>6</v>
      </c>
      <c r="F9" s="6"/>
      <c r="G9" s="19"/>
      <c r="H9" s="6" t="str">
        <f>IF(Table1[[#This Row],[Service Start]]-Table1[[#This Row],[Arrival Time]] &gt;=0,Table1[[#This Row],[Service Start]]-Table1[[#This Row],[Arrival Time]],"")</f>
        <v/>
      </c>
      <c r="I9" s="6">
        <f>IF(Table1[[#This Row],[Service End]]&gt;20,20-Table1[[#This Row],[Service Start]],Table1[[#This Row],[Service End]]-Table1[[#This Row],[Service Start]])</f>
        <v>0</v>
      </c>
    </row>
    <row r="10" spans="2:11">
      <c r="B10" s="18">
        <v>8</v>
      </c>
      <c r="C10" s="6">
        <v>1</v>
      </c>
      <c r="D10" s="6">
        <v>2</v>
      </c>
      <c r="E10" s="6">
        <v>7</v>
      </c>
      <c r="F10" s="6">
        <v>9</v>
      </c>
      <c r="G10" s="19">
        <v>11</v>
      </c>
      <c r="H10" s="6">
        <f>IF(Table1[[#This Row],[Service Start]]-Table1[[#This Row],[Arrival Time]] &gt;=0,Table1[[#This Row],[Service Start]]-Table1[[#This Row],[Arrival Time]],"")</f>
        <v>2</v>
      </c>
      <c r="I10" s="6">
        <f>IF(Table1[[#This Row],[Service End]]&gt;20,20-Table1[[#This Row],[Service Start]],Table1[[#This Row],[Service End]]-Table1[[#This Row],[Service Start]])</f>
        <v>2</v>
      </c>
    </row>
    <row r="11" spans="2:11">
      <c r="B11" s="18">
        <v>9</v>
      </c>
      <c r="C11" s="6">
        <v>1</v>
      </c>
      <c r="D11" s="6">
        <v>1</v>
      </c>
      <c r="E11" s="6">
        <v>8</v>
      </c>
      <c r="F11" s="6">
        <v>11</v>
      </c>
      <c r="G11" s="19">
        <v>12</v>
      </c>
      <c r="H11" s="6">
        <f>IF(Table1[[#This Row],[Service Start]]-Table1[[#This Row],[Arrival Time]] &gt;=0,Table1[[#This Row],[Service Start]]-Table1[[#This Row],[Arrival Time]],"")</f>
        <v>3</v>
      </c>
      <c r="I11" s="6">
        <f>IF(Table1[[#This Row],[Service End]]&gt;20,20-Table1[[#This Row],[Service Start]],Table1[[#This Row],[Service End]]-Table1[[#This Row],[Service Start]])</f>
        <v>1</v>
      </c>
    </row>
    <row r="12" spans="2:11">
      <c r="B12" s="18">
        <v>10</v>
      </c>
      <c r="C12" s="6">
        <v>1</v>
      </c>
      <c r="D12" s="6"/>
      <c r="E12" s="6">
        <v>9</v>
      </c>
      <c r="F12" s="6"/>
      <c r="G12" s="19"/>
      <c r="H12" s="6" t="str">
        <f>IF(Table1[[#This Row],[Service Start]]-Table1[[#This Row],[Arrival Time]] &gt;=0,Table1[[#This Row],[Service Start]]-Table1[[#This Row],[Arrival Time]],"")</f>
        <v/>
      </c>
      <c r="I12" s="6">
        <f>IF(Table1[[#This Row],[Service End]]&gt;20,20-Table1[[#This Row],[Service Start]],Table1[[#This Row],[Service End]]-Table1[[#This Row],[Service Start]])</f>
        <v>0</v>
      </c>
    </row>
    <row r="13" spans="2:11">
      <c r="B13" s="18">
        <v>11</v>
      </c>
      <c r="C13" s="6">
        <v>1</v>
      </c>
      <c r="D13" s="6"/>
      <c r="E13" s="6">
        <v>10</v>
      </c>
      <c r="F13" s="6"/>
      <c r="G13" s="19"/>
      <c r="H13" s="6" t="str">
        <f>IF(Table1[[#This Row],[Service Start]]-Table1[[#This Row],[Arrival Time]] &gt;=0,Table1[[#This Row],[Service Start]]-Table1[[#This Row],[Arrival Time]],"")</f>
        <v/>
      </c>
      <c r="I13" s="6">
        <f>IF(Table1[[#This Row],[Service End]]&gt;20,20-Table1[[#This Row],[Service Start]],Table1[[#This Row],[Service End]]-Table1[[#This Row],[Service Start]])</f>
        <v>0</v>
      </c>
    </row>
    <row r="14" spans="2:11">
      <c r="B14" s="18">
        <v>12</v>
      </c>
      <c r="C14" s="6">
        <v>1</v>
      </c>
      <c r="D14" s="6"/>
      <c r="E14" s="6">
        <v>11</v>
      </c>
      <c r="F14" s="6"/>
      <c r="G14" s="19"/>
      <c r="H14" s="6" t="str">
        <f>IF(Table1[[#This Row],[Service Start]]-Table1[[#This Row],[Arrival Time]] &gt;=0,Table1[[#This Row],[Service Start]]-Table1[[#This Row],[Arrival Time]],"")</f>
        <v/>
      </c>
      <c r="I14" s="6">
        <f>IF(Table1[[#This Row],[Service End]]&gt;20,20-Table1[[#This Row],[Service Start]],Table1[[#This Row],[Service End]]-Table1[[#This Row],[Service Start]])</f>
        <v>0</v>
      </c>
    </row>
    <row r="15" spans="2:11">
      <c r="B15" s="18">
        <v>13</v>
      </c>
      <c r="C15" s="6">
        <v>1</v>
      </c>
      <c r="D15" s="6">
        <v>2</v>
      </c>
      <c r="E15" s="6">
        <v>12</v>
      </c>
      <c r="F15" s="6">
        <v>12</v>
      </c>
      <c r="G15" s="19">
        <v>14</v>
      </c>
      <c r="H15" s="6">
        <f>IF(Table1[[#This Row],[Service Start]]-Table1[[#This Row],[Arrival Time]] &gt;=0,Table1[[#This Row],[Service Start]]-Table1[[#This Row],[Arrival Time]],"")</f>
        <v>0</v>
      </c>
      <c r="I15" s="6">
        <f>IF(Table1[[#This Row],[Service End]]&gt;20,20-Table1[[#This Row],[Service Start]],Table1[[#This Row],[Service End]]-Table1[[#This Row],[Service Start]])</f>
        <v>2</v>
      </c>
    </row>
    <row r="16" spans="2:11">
      <c r="B16" s="18">
        <v>14</v>
      </c>
      <c r="C16" s="6">
        <v>1</v>
      </c>
      <c r="D16" s="6"/>
      <c r="E16" s="6">
        <v>13</v>
      </c>
      <c r="F16" s="6"/>
      <c r="G16" s="19"/>
      <c r="H16" s="6" t="str">
        <f>IF(Table1[[#This Row],[Service Start]]-Table1[[#This Row],[Arrival Time]] &gt;=0,Table1[[#This Row],[Service Start]]-Table1[[#This Row],[Arrival Time]],"")</f>
        <v/>
      </c>
      <c r="I16" s="6">
        <f>IF(Table1[[#This Row],[Service End]]&gt;20,20-Table1[[#This Row],[Service Start]],Table1[[#This Row],[Service End]]-Table1[[#This Row],[Service Start]])</f>
        <v>0</v>
      </c>
    </row>
    <row r="17" spans="2:9">
      <c r="B17" s="18">
        <v>15</v>
      </c>
      <c r="C17" s="6">
        <v>1</v>
      </c>
      <c r="D17" s="6"/>
      <c r="E17" s="6">
        <v>14</v>
      </c>
      <c r="F17" s="6"/>
      <c r="G17" s="19"/>
      <c r="H17" s="6" t="str">
        <f>IF(Table1[[#This Row],[Service Start]]-Table1[[#This Row],[Arrival Time]] &gt;=0,Table1[[#This Row],[Service Start]]-Table1[[#This Row],[Arrival Time]],"")</f>
        <v/>
      </c>
      <c r="I17" s="6">
        <f>IF(Table1[[#This Row],[Service End]]&gt;20,20-Table1[[#This Row],[Service Start]],Table1[[#This Row],[Service End]]-Table1[[#This Row],[Service Start]])</f>
        <v>0</v>
      </c>
    </row>
    <row r="18" spans="2:9">
      <c r="B18" s="18">
        <v>16</v>
      </c>
      <c r="C18" s="6">
        <v>1</v>
      </c>
      <c r="D18" s="6">
        <v>0.5</v>
      </c>
      <c r="E18" s="6">
        <v>15</v>
      </c>
      <c r="F18" s="6">
        <v>15</v>
      </c>
      <c r="G18" s="19">
        <v>15.5</v>
      </c>
      <c r="H18" s="6">
        <f>IF(Table1[[#This Row],[Service Start]]-Table1[[#This Row],[Arrival Time]] &gt;=0,Table1[[#This Row],[Service Start]]-Table1[[#This Row],[Arrival Time]],"")</f>
        <v>0</v>
      </c>
      <c r="I18" s="6">
        <f>IF(Table1[[#This Row],[Service End]]&gt;20,20-Table1[[#This Row],[Service Start]],Table1[[#This Row],[Service End]]-Table1[[#This Row],[Service Start]])</f>
        <v>0.5</v>
      </c>
    </row>
    <row r="19" spans="2:9">
      <c r="B19" s="18">
        <v>17</v>
      </c>
      <c r="C19" s="6">
        <v>1</v>
      </c>
      <c r="D19" s="6"/>
      <c r="E19" s="6">
        <v>16</v>
      </c>
      <c r="F19" s="6"/>
      <c r="G19" s="19"/>
      <c r="H19" s="6" t="str">
        <f>IF(Table1[[#This Row],[Service Start]]-Table1[[#This Row],[Arrival Time]] &gt;=0,Table1[[#This Row],[Service Start]]-Table1[[#This Row],[Arrival Time]],"")</f>
        <v/>
      </c>
      <c r="I19" s="6">
        <f>IF(Table1[[#This Row],[Service End]]&gt;20,20-Table1[[#This Row],[Service Start]],Table1[[#This Row],[Service End]]-Table1[[#This Row],[Service Start]])</f>
        <v>0</v>
      </c>
    </row>
    <row r="20" spans="2:9">
      <c r="B20" s="18">
        <v>18</v>
      </c>
      <c r="C20" s="6">
        <v>1</v>
      </c>
      <c r="D20" s="6">
        <v>1.5</v>
      </c>
      <c r="E20" s="6">
        <v>17</v>
      </c>
      <c r="F20" s="6">
        <v>17</v>
      </c>
      <c r="G20" s="19">
        <v>18.5</v>
      </c>
      <c r="H20" s="6">
        <f>IF(Table1[[#This Row],[Service Start]]-Table1[[#This Row],[Arrival Time]] &gt;=0,Table1[[#This Row],[Service Start]]-Table1[[#This Row],[Arrival Time]],"")</f>
        <v>0</v>
      </c>
      <c r="I20" s="6">
        <f>IF(Table1[[#This Row],[Service End]]&gt;20,20-Table1[[#This Row],[Service Start]],Table1[[#This Row],[Service End]]-Table1[[#This Row],[Service Start]])</f>
        <v>1.5</v>
      </c>
    </row>
    <row r="21" spans="2:9">
      <c r="B21" s="18">
        <v>19</v>
      </c>
      <c r="C21" s="6">
        <v>1</v>
      </c>
      <c r="D21" s="6">
        <v>3</v>
      </c>
      <c r="E21" s="6">
        <v>18</v>
      </c>
      <c r="F21" s="6">
        <v>18.5</v>
      </c>
      <c r="G21" s="19">
        <v>21.5</v>
      </c>
      <c r="H21" s="6">
        <f>IF(Table1[[#This Row],[Service Start]]-Table1[[#This Row],[Arrival Time]] &gt;=0,Table1[[#This Row],[Service Start]]-Table1[[#This Row],[Arrival Time]],"")</f>
        <v>0.5</v>
      </c>
      <c r="I21" s="6">
        <f>IF(Table1[[#This Row],[Service End]]&gt;20,20-Table1[[#This Row],[Service Start]],Table1[[#This Row],[Service End]]-Table1[[#This Row],[Service Start]])</f>
        <v>1.5</v>
      </c>
    </row>
    <row r="22" spans="2:9">
      <c r="B22" s="20">
        <v>20</v>
      </c>
      <c r="C22" s="21">
        <v>1</v>
      </c>
      <c r="D22" s="21"/>
      <c r="E22" s="21">
        <v>19</v>
      </c>
      <c r="F22" s="21"/>
      <c r="G22" s="22"/>
      <c r="H22" s="21" t="str">
        <f>IF(Table1[[#This Row],[Service Start]]-Table1[[#This Row],[Arrival Time]] &gt;=0,Table1[[#This Row],[Service Start]]-Table1[[#This Row],[Arrival Time]],"")</f>
        <v/>
      </c>
      <c r="I22" s="21">
        <f>IF(Table1[[#This Row],[Service End]]&gt;20,20-Table1[[#This Row],[Service Start]],Table1[[#This Row],[Service End]]-Table1[[#This Row],[Service Start]])</f>
        <v>0</v>
      </c>
    </row>
    <row r="29" spans="2:9" ht="17" thickBot="1"/>
    <row r="30" spans="2:9">
      <c r="E30" s="28" t="s">
        <v>20</v>
      </c>
      <c r="F30" s="29">
        <f>AVERAGEIF(Table1[Wait Time],"&gt;=0")</f>
        <v>0.9</v>
      </c>
      <c r="G30" t="str">
        <f ca="1">_xlfn.FORMULATEXT(F30)</f>
        <v>=AVERAGEIF(Table1[Wait Time],"&gt;=0")</v>
      </c>
    </row>
    <row r="31" spans="2:9" ht="17" thickBot="1">
      <c r="E31" s="30" t="s">
        <v>21</v>
      </c>
      <c r="F31" s="31">
        <f>SUM(Table1[Facility Use (20-days)])/COUNT(Table1[Facility Use (20-days)])</f>
        <v>0.875</v>
      </c>
      <c r="G31" t="str">
        <f ca="1">_xlfn.FORMULATEXT(F31)</f>
        <v>=SUM(Table1[Facility Use (20-days)])/COUNT(Table1[Facility Use (20-days)])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E781-5475-5B46-B488-064FAB849CF3}">
  <dimension ref="B1:C2"/>
  <sheetViews>
    <sheetView showGridLines="0" workbookViewId="0"/>
  </sheetViews>
  <sheetFormatPr baseColWidth="10" defaultRowHeight="16"/>
  <sheetData>
    <row r="1" spans="2:3" ht="17" thickBot="1"/>
    <row r="2" spans="2:3" ht="17" thickBot="1">
      <c r="B2" s="16" t="s">
        <v>18</v>
      </c>
      <c r="C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Answer#1</vt:lpstr>
      <vt:lpstr>Answer#2</vt:lpstr>
      <vt:lpstr>Answer#3</vt:lpstr>
      <vt:lpstr>Answer#4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Cota-Robles, Andre (CIV)</dc:creator>
  <cp:lastModifiedBy>Cota-Robles, Andre (CIV)</cp:lastModifiedBy>
  <dcterms:created xsi:type="dcterms:W3CDTF">2026-01-11T20:14:04Z</dcterms:created>
  <dcterms:modified xsi:type="dcterms:W3CDTF">2026-01-13T00:30:04Z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2026-01-11T20:14:15Z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40310cc4-f116-4fad-aeeb-9de337a9103b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50, 3, 0, 1</vt:lpwstr>
  </property>
</Properties>
</file>