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jwes\Downloads\"/>
    </mc:Choice>
  </mc:AlternateContent>
  <xr:revisionPtr revIDLastSave="0" documentId="8_{0F899AF6-064B-4A02-9B8D-79D60C4426EC}" xr6:coauthVersionLast="47" xr6:coauthVersionMax="47" xr10:uidLastSave="{00000000-0000-0000-0000-000000000000}"/>
  <bookViews>
    <workbookView xWindow="-28920" yWindow="750" windowWidth="29040" windowHeight="15720" xr2:uid="{D5C12BCE-1C4B-4C4B-8D51-8F57F6514C8B}"/>
  </bookViews>
  <sheets>
    <sheet name="Question 1" sheetId="1" r:id="rId1"/>
    <sheet name="Question 2" sheetId="8" r:id="rId2"/>
    <sheet name="Question 3 &amp; 4" sheetId="3"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5" i="3" l="1"/>
  <c r="H25" i="3"/>
  <c r="I24" i="3"/>
  <c r="H24" i="3"/>
  <c r="I4" i="3"/>
  <c r="I5" i="3"/>
  <c r="I6" i="3"/>
  <c r="I7" i="3"/>
  <c r="I8" i="3"/>
  <c r="I9" i="3"/>
  <c r="I10" i="3"/>
  <c r="I11" i="3"/>
  <c r="I12" i="3"/>
  <c r="I13" i="3"/>
  <c r="I14" i="3"/>
  <c r="I15" i="3"/>
  <c r="I16" i="3"/>
  <c r="I17" i="3"/>
  <c r="I18" i="3"/>
  <c r="I19" i="3"/>
  <c r="I20" i="3"/>
  <c r="I21" i="3"/>
  <c r="I22" i="3"/>
  <c r="I3" i="3"/>
  <c r="G23" i="3"/>
  <c r="E25" i="3"/>
  <c r="E24" i="3"/>
  <c r="H21" i="3"/>
  <c r="H20" i="3"/>
  <c r="H18" i="3"/>
  <c r="H15" i="3"/>
  <c r="H11" i="3"/>
  <c r="H10" i="3"/>
  <c r="H8" i="3"/>
  <c r="H5" i="3"/>
  <c r="H7" i="3"/>
  <c r="H13" i="8"/>
  <c r="G6" i="8"/>
  <c r="G7" i="8"/>
  <c r="G8" i="8"/>
  <c r="G9" i="8"/>
  <c r="G5" i="8"/>
  <c r="H6" i="8"/>
  <c r="H7" i="8"/>
  <c r="H8" i="8"/>
  <c r="H9" i="8"/>
  <c r="H5" i="8"/>
  <c r="F21" i="3"/>
  <c r="F20" i="3"/>
  <c r="F18" i="3"/>
  <c r="F15" i="3"/>
  <c r="F11" i="3"/>
  <c r="F10" i="3"/>
  <c r="F8" i="3"/>
  <c r="F7" i="3"/>
  <c r="F5" i="3"/>
  <c r="G5" i="3" s="1"/>
  <c r="G7" i="3"/>
  <c r="G8" i="3"/>
  <c r="G10" i="3"/>
  <c r="G11" i="3"/>
  <c r="G15" i="3"/>
  <c r="G18" i="3"/>
  <c r="G20" i="3"/>
  <c r="G21" i="3"/>
  <c r="G3" i="3"/>
  <c r="I6" i="8"/>
  <c r="I7" i="8"/>
  <c r="I8" i="8"/>
  <c r="I9" i="8"/>
  <c r="I5" i="8"/>
  <c r="U6" i="8"/>
  <c r="J5" i="8"/>
  <c r="J6" i="8"/>
  <c r="J7" i="8"/>
  <c r="J8" i="8"/>
  <c r="J9" i="8"/>
  <c r="J4" i="8"/>
  <c r="V5" i="8"/>
  <c r="D11" i="8"/>
  <c r="H15" i="8" s="1"/>
  <c r="P5" i="8"/>
  <c r="S5" i="8" s="1"/>
  <c r="I4" i="8"/>
  <c r="G13" i="1"/>
  <c r="D13" i="1"/>
  <c r="D10" i="1"/>
  <c r="D11" i="1"/>
  <c r="D12" i="1"/>
  <c r="D9" i="1"/>
  <c r="H14" i="8" l="1"/>
  <c r="H12" i="8"/>
  <c r="P6" i="8"/>
  <c r="H11" i="8"/>
  <c r="Q5" i="8"/>
  <c r="V4" i="8"/>
  <c r="U5" i="8" s="1"/>
  <c r="T5" i="8" l="1"/>
  <c r="R5" i="8"/>
  <c r="P7" i="8"/>
  <c r="Q6" i="8"/>
  <c r="T6" i="8" l="1"/>
  <c r="R6" i="8"/>
  <c r="P8" i="8"/>
  <c r="Q7" i="8"/>
  <c r="S6" i="8"/>
  <c r="R7" i="8" l="1"/>
  <c r="T7" i="8"/>
  <c r="P9" i="8"/>
  <c r="Q8" i="8"/>
  <c r="S7" i="8"/>
  <c r="R8" i="8" l="1"/>
  <c r="T8" i="8"/>
  <c r="Q9" i="8"/>
  <c r="P10" i="8"/>
  <c r="S8" i="8"/>
  <c r="P11" i="8" l="1"/>
  <c r="Q10" i="8"/>
  <c r="T9" i="8"/>
  <c r="R9" i="8"/>
  <c r="S9" i="8"/>
  <c r="R10" i="8" l="1"/>
  <c r="T10" i="8"/>
  <c r="S10" i="8"/>
  <c r="Q11" i="8"/>
  <c r="P12" i="8"/>
  <c r="V7" i="8"/>
  <c r="U8" i="8" s="1"/>
  <c r="T11" i="8" l="1"/>
  <c r="R11" i="8"/>
  <c r="Q12" i="8"/>
  <c r="V8" i="8"/>
  <c r="U9" i="8" s="1"/>
  <c r="V6" i="8"/>
  <c r="U7" i="8" s="1"/>
  <c r="V9" i="8"/>
  <c r="U10" i="8" s="1"/>
  <c r="V10" i="8"/>
  <c r="U11" i="8" s="1"/>
  <c r="S11" i="8"/>
  <c r="T12" i="8" l="1"/>
  <c r="R12" i="8"/>
  <c r="V12" i="8" s="1"/>
  <c r="S12" i="8"/>
  <c r="V11" i="8"/>
  <c r="U12"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EC92EC-14E1-4ED7-A861-04DF720B4C66}"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<sst xmlns="http://schemas.openxmlformats.org/spreadsheetml/2006/main" count="65" uniqueCount="47">
  <si>
    <t>Charles Wesley</t>
  </si>
  <si>
    <t>HW 1</t>
  </si>
  <si>
    <t>SE4420</t>
  </si>
  <si>
    <t>1. (1 point) The length of a queue during a 30 minute period is 3 for the first 5 minutes, 4 for the next 10 minutes, 2 for the next 6 minutes, and 3 for the last 9 minutes. What is the average queue length during this time?</t>
  </si>
  <si>
    <t>Li</t>
  </si>
  <si>
    <t>T (min)</t>
  </si>
  <si>
    <t>ti (min)</t>
  </si>
  <si>
    <t>Liti</t>
  </si>
  <si>
    <t>∑ Liti</t>
  </si>
  <si>
    <t>Lbar (min)</t>
  </si>
  <si>
    <t>See next sheet for following question.</t>
  </si>
  <si>
    <t>Service Time</t>
  </si>
  <si>
    <t>Service Start</t>
  </si>
  <si>
    <t>Table 1.2 check</t>
  </si>
  <si>
    <t>Car #</t>
  </si>
  <si>
    <t>IAT</t>
  </si>
  <si>
    <t>Charge</t>
  </si>
  <si>
    <t>Clock</t>
  </si>
  <si>
    <t>Start</t>
  </si>
  <si>
    <t>End</t>
  </si>
  <si>
    <t>Wait</t>
  </si>
  <si>
    <t>Idle</t>
  </si>
  <si>
    <t>Qstart</t>
  </si>
  <si>
    <t>Qend</t>
  </si>
  <si>
    <t>init</t>
  </si>
  <si>
    <t>Clock (IATsum)</t>
  </si>
  <si>
    <t>Heli #</t>
  </si>
  <si>
    <t>Arrival Time</t>
  </si>
  <si>
    <t>Service End</t>
  </si>
  <si>
    <t>Time in Queue</t>
  </si>
  <si>
    <t>Idle Time</t>
  </si>
  <si>
    <t>Total Idle</t>
  </si>
  <si>
    <t>Min Queue</t>
  </si>
  <si>
    <t>Max Queue</t>
  </si>
  <si>
    <t>Total service</t>
  </si>
  <si>
    <t>Ship</t>
  </si>
  <si>
    <t>Avg Idle</t>
  </si>
  <si>
    <t>Utiliz</t>
  </si>
  <si>
    <t>utilization</t>
  </si>
  <si>
    <t>Service Days</t>
  </si>
  <si>
    <t>Jobs</t>
  </si>
  <si>
    <t>queue</t>
  </si>
  <si>
    <t>avq q*</t>
  </si>
  <si>
    <t>The average queue for completed jobs is 0.85 days or approximatley 20 hours. This does not account for the 10 ships that arrived and were not serviced. If those partial jobs were included it would be over 5 days but the real value may increase if this yard is the only place for repair of this backlog.</t>
  </si>
  <si>
    <t>Question 3</t>
  </si>
  <si>
    <t>Question 4</t>
  </si>
  <si>
    <t>In general as more resources are added to a workflow the individual resource utilization will decrease. In the case of problem 3 where half of the work sits on backlog, the resource utilization would remain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</si>
</sst>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1"/>
      <color theme="0" tint="-0.499984740745262"/>
      <name val="Aptos Narrow"/>
      <family val="2"/>
      <scheme val="minor"/>
    </font>
    <font>
      <sz val="11"/>
      <color theme="1"/>
      <name val="Aptos Narrow"/>
      <family val="2"/>
    </font>
    <font>
      <sz val="11"/>
      <name val="Aptos Narrow"/>
      <family val="2"/>
      <scheme val="minor"/>
    </font>
    <font>
      <sz val="12"/>
      <name val="Google Sans Mono"/>
      <family val="3"/>
    </font>
    <font>
      <b/>
      <sz val="11"/>
      <color theme="0" tint="-0.249977111117893"/>
      <name val="Aptos Narrow"/>
      <family val="2"/>
      <scheme val="minor"/>
    </font>
    <font>
      <sz val="11"/>
      <color theme="0" tint="-0.249977111117893"/>
      <name val="Aptos Narrow"/>
      <family val="2"/>
      <scheme val="minor"/>
    </font>
    <font>
      <sz val="12"/>
      <color theme="0" tint="-0.249977111117893"/>
      <name val="Google Sans Mono"/>
      <family val="3"/>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9" fillId="0" borderId="0" applyFont="0" applyFill="0" applyBorder="0" applyAlignment="0" applyProtection="0"/>
  </cellStyleXfs>
  <cellXfs count="14">
    <xf numFmtId="0" fontId="0" fillId="0" borderId="0" xfId="0"/>
    <xf numFmtId="0" fontId="2" fillId="0" borderId="0" xfId="0" applyFont="1"/>
    <xf numFmtId="0" fontId="3" fillId="0" borderId="0" xfId="0" applyFont="1" applyAlignment="1">
      <alignment horizontal="right"/>
    </xf>
    <xf numFmtId="0" fontId="1" fillId="0" borderId="0" xfId="0" applyFont="1"/>
    <xf numFmtId="2" fontId="1" fillId="0" borderId="0" xfId="0" applyNumberFormat="1" applyFont="1"/>
    <xf numFmtId="0" fontId="4" fillId="0" borderId="0" xfId="0" applyFont="1"/>
    <xf numFmtId="0" fontId="5" fillId="0" borderId="0" xfId="0" applyFont="1" applyAlignment="1">
      <alignment vertical="center"/>
    </xf>
    <xf numFmtId="0" fontId="6" fillId="0" borderId="0" xfId="0" applyFont="1"/>
    <xf numFmtId="0" fontId="7" fillId="0" borderId="0" xfId="0" applyFont="1"/>
    <xf numFmtId="0" fontId="8" fillId="0" borderId="0" xfId="0" applyFont="1" applyAlignment="1">
      <alignment vertical="center"/>
    </xf>
    <xf numFmtId="9" fontId="1" fillId="0" borderId="0" xfId="1" applyFont="1"/>
    <xf numFmtId="0" fontId="0" fillId="0" borderId="0" xfId="0" applyAlignment="1">
      <alignment horizontal="right"/>
    </xf>
    <xf numFmtId="0" fontId="0" fillId="0" borderId="0" xfId="0" applyAlignment="1">
      <alignment horizontal="left" indent="1"/>
    </xf>
    <xf numFmtId="0" fontId="0" fillId="0" borderId="0" xfId="0"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38100</xdr:colOff>
      <xdr:row>2</xdr:row>
      <xdr:rowOff>133351</xdr:rowOff>
    </xdr:from>
    <xdr:to>
      <xdr:col>21</xdr:col>
      <xdr:colOff>441541</xdr:colOff>
      <xdr:row>20</xdr:row>
      <xdr:rowOff>76201</xdr:rowOff>
    </xdr:to>
    <xdr:pic>
      <xdr:nvPicPr>
        <xdr:cNvPr id="2" name="Picture 1">
          <a:extLst>
            <a:ext uri="{FF2B5EF4-FFF2-40B4-BE49-F238E27FC236}">
              <a16:creationId xmlns:a16="http://schemas.microsoft.com/office/drawing/2014/main" id="{5C1CDDEE-7884-F86A-58BD-DF95A7898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514351"/>
          <a:ext cx="4061041" cy="337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A73D2-8E05-4666-B55C-7D92256FFEFF}">
  <dimension ref="A1:N16"/>
  <sheetViews>
    <sheetView tabSelected="1" workbookViewId="0">
      <selection activeCell="A16" sqref="A16"/>
    </sheetView>
  </sheetViews>
  <sheetFormatPr defaultRowHeight="15"/>
  <cols>
    <col min="7" max="7" width="9.5703125" bestFit="1" customWidth="1"/>
  </cols>
  <sheetData>
    <row r="1" spans="1:14">
      <c r="A1" t="s">
        <v>0</v>
      </c>
    </row>
    <row r="2" spans="1:14">
      <c r="A2" t="s">
        <v>1</v>
      </c>
    </row>
    <row r="3" spans="1:14">
      <c r="A3" t="s">
        <v>2</v>
      </c>
    </row>
    <row r="5" spans="1:14">
      <c r="A5" s="13" t="s">
        <v>3</v>
      </c>
      <c r="B5" s="13"/>
      <c r="C5" s="13"/>
      <c r="D5" s="13"/>
      <c r="E5" s="13"/>
      <c r="F5" s="13"/>
      <c r="G5" s="13"/>
      <c r="H5" s="13"/>
      <c r="I5" s="13"/>
      <c r="J5" s="13"/>
      <c r="K5" s="13"/>
      <c r="L5" s="13"/>
      <c r="M5" s="13"/>
      <c r="N5" s="13"/>
    </row>
    <row r="6" spans="1:14">
      <c r="A6" s="13"/>
      <c r="B6" s="13"/>
      <c r="C6" s="13"/>
      <c r="D6" s="13"/>
      <c r="E6" s="13"/>
      <c r="F6" s="13"/>
      <c r="G6" s="13"/>
      <c r="H6" s="13"/>
      <c r="I6" s="13"/>
      <c r="J6" s="13"/>
      <c r="K6" s="13"/>
      <c r="L6" s="13"/>
      <c r="M6" s="13"/>
      <c r="N6" s="13"/>
    </row>
    <row r="8" spans="1:14">
      <c r="B8" t="s">
        <v>4</v>
      </c>
      <c r="C8" t="s">
        <v>6</v>
      </c>
      <c r="D8" s="1" t="s">
        <v>7</v>
      </c>
      <c r="G8" t="s">
        <v>5</v>
      </c>
      <c r="H8">
        <v>30</v>
      </c>
    </row>
    <row r="9" spans="1:14">
      <c r="B9">
        <v>5</v>
      </c>
      <c r="C9">
        <v>3</v>
      </c>
      <c r="D9" s="1">
        <f>B9*C9</f>
        <v>15</v>
      </c>
    </row>
    <row r="10" spans="1:14">
      <c r="B10">
        <v>4</v>
      </c>
      <c r="C10">
        <v>10</v>
      </c>
      <c r="D10" s="1">
        <f t="shared" ref="D10:D12" si="0">B10*C10</f>
        <v>40</v>
      </c>
    </row>
    <row r="11" spans="1:14">
      <c r="B11">
        <v>2</v>
      </c>
      <c r="C11">
        <v>6</v>
      </c>
      <c r="D11" s="1">
        <f t="shared" si="0"/>
        <v>12</v>
      </c>
    </row>
    <row r="12" spans="1:14">
      <c r="B12">
        <v>3</v>
      </c>
      <c r="C12">
        <v>9</v>
      </c>
      <c r="D12" s="1">
        <f t="shared" si="0"/>
        <v>27</v>
      </c>
    </row>
    <row r="13" spans="1:14">
      <c r="C13" s="2" t="s">
        <v>8</v>
      </c>
      <c r="D13" s="1">
        <f>SUM(D9:D12)</f>
        <v>94</v>
      </c>
      <c r="F13" s="3" t="s">
        <v>9</v>
      </c>
      <c r="G13" s="4">
        <f>D13/H8</f>
        <v>3.1333333333333333</v>
      </c>
    </row>
    <row r="16" spans="1:14">
      <c r="A16" t="s">
        <v>10</v>
      </c>
    </row>
  </sheetData>
  <mergeCells count="1">
    <mergeCell ref="A5:N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C0539-714B-452F-805B-1EBCB13E6FF1}">
  <dimension ref="A1:V24"/>
  <sheetViews>
    <sheetView workbookViewId="0">
      <selection activeCell="G16" sqref="G16"/>
    </sheetView>
  </sheetViews>
  <sheetFormatPr defaultRowHeight="15"/>
  <cols>
    <col min="2" max="2" width="9.42578125" bestFit="1" customWidth="1"/>
    <col min="3" max="3" width="15.5703125" bestFit="1" customWidth="1"/>
    <col min="4" max="4" width="11.85546875" bestFit="1" customWidth="1"/>
    <col min="5" max="5" width="11.5703125" bestFit="1" customWidth="1"/>
    <col min="6" max="6" width="11.42578125" bestFit="1" customWidth="1"/>
    <col min="8" max="8" width="9.5703125" bestFit="1" customWidth="1"/>
    <col min="13" max="13" width="11.28515625" customWidth="1"/>
  </cols>
  <sheetData>
    <row r="1" spans="1:22">
      <c r="M1" t="s">
        <v>13</v>
      </c>
    </row>
    <row r="3" spans="1:22">
      <c r="A3" t="s">
        <v>26</v>
      </c>
      <c r="B3" t="s">
        <v>15</v>
      </c>
      <c r="C3" t="s">
        <v>27</v>
      </c>
      <c r="D3" t="s">
        <v>11</v>
      </c>
      <c r="E3" t="s">
        <v>12</v>
      </c>
      <c r="F3" t="s">
        <v>28</v>
      </c>
      <c r="G3" t="s">
        <v>29</v>
      </c>
      <c r="H3" t="s">
        <v>30</v>
      </c>
      <c r="I3" t="s">
        <v>22</v>
      </c>
      <c r="J3" s="5" t="s">
        <v>23</v>
      </c>
      <c r="M3" t="s">
        <v>14</v>
      </c>
      <c r="N3" t="s">
        <v>15</v>
      </c>
      <c r="O3" t="s">
        <v>16</v>
      </c>
      <c r="P3" t="s">
        <v>25</v>
      </c>
      <c r="Q3" t="s">
        <v>18</v>
      </c>
      <c r="R3" t="s">
        <v>19</v>
      </c>
      <c r="S3" t="s">
        <v>20</v>
      </c>
      <c r="T3" t="s">
        <v>21</v>
      </c>
      <c r="U3" t="s">
        <v>22</v>
      </c>
      <c r="V3" s="5" t="s">
        <v>23</v>
      </c>
    </row>
    <row r="4" spans="1:22" ht="15.75">
      <c r="A4">
        <v>1</v>
      </c>
      <c r="B4">
        <v>0</v>
      </c>
      <c r="C4">
        <v>0</v>
      </c>
      <c r="D4">
        <v>2.2000000000000002</v>
      </c>
      <c r="E4">
        <v>0</v>
      </c>
      <c r="F4">
        <v>2.2000000000000002</v>
      </c>
      <c r="G4">
        <v>0</v>
      </c>
      <c r="H4">
        <v>0</v>
      </c>
      <c r="I4">
        <f>COUNTIFS($C$4:$C$9, "&lt;="&amp;C4, $E$4:$E$9, "&gt;"&amp;C4)</f>
        <v>0</v>
      </c>
      <c r="J4">
        <f>COUNTIFS($C$4:$C$9, "&lt;="&amp;F4, $E$4:$E$9, "&gt;"&amp;E4)</f>
        <v>1</v>
      </c>
      <c r="M4" s="7" t="s">
        <v>24</v>
      </c>
      <c r="N4" s="7">
        <v>0</v>
      </c>
      <c r="O4" s="7">
        <v>0</v>
      </c>
      <c r="P4" s="8">
        <v>0</v>
      </c>
      <c r="Q4" s="8">
        <v>0</v>
      </c>
      <c r="R4" s="8">
        <v>0</v>
      </c>
      <c r="S4" s="8">
        <v>0</v>
      </c>
      <c r="T4" s="8">
        <v>0</v>
      </c>
      <c r="U4" s="8"/>
      <c r="V4" s="9">
        <f>COUNTIFS($D$5:$D$12, "&lt;="&amp;R4, $E$5:$E$12, "&gt;"&amp;Q4)</f>
        <v>0</v>
      </c>
    </row>
    <row r="5" spans="1:22" ht="15.75">
      <c r="A5">
        <v>2</v>
      </c>
      <c r="B5">
        <v>1.4</v>
      </c>
      <c r="C5">
        <v>1.4</v>
      </c>
      <c r="D5">
        <v>1.2</v>
      </c>
      <c r="E5">
        <v>2.2000000000000002</v>
      </c>
      <c r="F5">
        <v>3.4</v>
      </c>
      <c r="G5">
        <f>MAX(F4-C5,0)</f>
        <v>0.80000000000000027</v>
      </c>
      <c r="H5">
        <f>MAX(C5-F4,0)</f>
        <v>0</v>
      </c>
      <c r="I5">
        <f>J4</f>
        <v>1</v>
      </c>
      <c r="J5">
        <f t="shared" ref="J5:J9" si="0">COUNTIFS($C$4:$C$9, "&lt;="&amp;F5, $E$4:$E$9, "&gt;"&amp;E5)</f>
        <v>0</v>
      </c>
      <c r="M5" s="3">
        <v>1</v>
      </c>
      <c r="N5" s="3">
        <v>2</v>
      </c>
      <c r="O5" s="3">
        <v>11</v>
      </c>
      <c r="P5">
        <f>N5+P4</f>
        <v>2</v>
      </c>
      <c r="Q5">
        <f>MAX(P5,R4)</f>
        <v>2</v>
      </c>
      <c r="R5">
        <f>Q5+O5</f>
        <v>13</v>
      </c>
      <c r="S5">
        <f>MAX(R4-P5, 0)</f>
        <v>0</v>
      </c>
      <c r="T5">
        <f>Q5-R4</f>
        <v>2</v>
      </c>
      <c r="U5">
        <f>V4</f>
        <v>0</v>
      </c>
      <c r="V5" s="6">
        <f>COUNTIFS($P$5:$P$12, "&lt;="&amp;R5, $Q$5:$Q$12, "&gt;"&amp;Q5)</f>
        <v>1</v>
      </c>
    </row>
    <row r="6" spans="1:22" ht="15.75">
      <c r="A6">
        <v>3</v>
      </c>
      <c r="B6">
        <v>2.1</v>
      </c>
      <c r="C6">
        <v>3.5</v>
      </c>
      <c r="D6">
        <v>0.3</v>
      </c>
      <c r="E6">
        <v>3.5</v>
      </c>
      <c r="F6">
        <v>3.8</v>
      </c>
      <c r="G6">
        <f t="shared" ref="G6:G9" si="1">MAX(F5-C6,0)</f>
        <v>0</v>
      </c>
      <c r="H6">
        <f t="shared" ref="H6:H9" si="2">MAX(C6-F5,0)</f>
        <v>0.10000000000000009</v>
      </c>
      <c r="I6">
        <f t="shared" ref="I6:I9" si="3">J5</f>
        <v>0</v>
      </c>
      <c r="J6">
        <f t="shared" si="0"/>
        <v>0</v>
      </c>
      <c r="M6" s="3">
        <v>2</v>
      </c>
      <c r="N6" s="3">
        <v>8</v>
      </c>
      <c r="O6" s="3">
        <v>8</v>
      </c>
      <c r="P6">
        <f t="shared" ref="P6:P12" si="4">N6+P5</f>
        <v>10</v>
      </c>
      <c r="Q6">
        <f t="shared" ref="Q6:Q12" si="5">MAX(P6,R5)</f>
        <v>13</v>
      </c>
      <c r="R6">
        <f t="shared" ref="R6:R12" si="6">Q6+O6</f>
        <v>21</v>
      </c>
      <c r="S6">
        <f t="shared" ref="S6:S12" si="7">MAX(R5-P6, 0)</f>
        <v>3</v>
      </c>
      <c r="T6">
        <f t="shared" ref="T6:T12" si="8">Q6-R5</f>
        <v>0</v>
      </c>
      <c r="U6">
        <f>V5</f>
        <v>1</v>
      </c>
      <c r="V6" s="6">
        <f t="shared" ref="V6:V12" si="9">COUNTIFS($P$5:$P$12, "&lt;="&amp;R6, $Q$5:$Q$12, "&gt;"&amp;Q6)</f>
        <v>2</v>
      </c>
    </row>
    <row r="7" spans="1:22" ht="15.75">
      <c r="A7">
        <v>4</v>
      </c>
      <c r="B7">
        <v>1.9</v>
      </c>
      <c r="C7">
        <v>5.4</v>
      </c>
      <c r="D7">
        <v>2.8</v>
      </c>
      <c r="E7">
        <v>5.4</v>
      </c>
      <c r="F7">
        <v>8.1999999999999993</v>
      </c>
      <c r="G7">
        <f t="shared" si="1"/>
        <v>0</v>
      </c>
      <c r="H7">
        <f t="shared" si="2"/>
        <v>1.6000000000000005</v>
      </c>
      <c r="I7">
        <f t="shared" si="3"/>
        <v>0</v>
      </c>
      <c r="J7">
        <f t="shared" si="0"/>
        <v>2</v>
      </c>
      <c r="M7" s="3">
        <v>3</v>
      </c>
      <c r="N7" s="3">
        <v>7</v>
      </c>
      <c r="O7" s="3">
        <v>5</v>
      </c>
      <c r="P7">
        <f t="shared" si="4"/>
        <v>17</v>
      </c>
      <c r="Q7">
        <f t="shared" si="5"/>
        <v>21</v>
      </c>
      <c r="R7">
        <f t="shared" si="6"/>
        <v>26</v>
      </c>
      <c r="S7">
        <f t="shared" si="7"/>
        <v>4</v>
      </c>
      <c r="T7">
        <f t="shared" si="8"/>
        <v>0</v>
      </c>
      <c r="U7">
        <f t="shared" ref="U7:U12" si="10">V6</f>
        <v>2</v>
      </c>
      <c r="V7" s="6">
        <f t="shared" si="9"/>
        <v>1</v>
      </c>
    </row>
    <row r="8" spans="1:22" ht="15.75">
      <c r="A8">
        <v>5</v>
      </c>
      <c r="B8">
        <v>0.2</v>
      </c>
      <c r="C8">
        <v>5.6</v>
      </c>
      <c r="D8">
        <v>0.2</v>
      </c>
      <c r="E8">
        <v>8.1999999999999993</v>
      </c>
      <c r="F8">
        <v>8.4</v>
      </c>
      <c r="G8">
        <f t="shared" si="1"/>
        <v>2.5999999999999996</v>
      </c>
      <c r="H8">
        <f t="shared" si="2"/>
        <v>0</v>
      </c>
      <c r="I8">
        <f t="shared" si="3"/>
        <v>2</v>
      </c>
      <c r="J8">
        <f t="shared" si="0"/>
        <v>1</v>
      </c>
      <c r="M8" s="3">
        <v>4</v>
      </c>
      <c r="N8" s="3">
        <v>2</v>
      </c>
      <c r="O8" s="3">
        <v>8</v>
      </c>
      <c r="P8">
        <f t="shared" si="4"/>
        <v>19</v>
      </c>
      <c r="Q8">
        <f t="shared" si="5"/>
        <v>26</v>
      </c>
      <c r="R8">
        <f t="shared" si="6"/>
        <v>34</v>
      </c>
      <c r="S8">
        <f t="shared" si="7"/>
        <v>7</v>
      </c>
      <c r="T8">
        <f t="shared" si="8"/>
        <v>0</v>
      </c>
      <c r="U8">
        <f t="shared" si="10"/>
        <v>1</v>
      </c>
      <c r="V8" s="6">
        <f t="shared" si="9"/>
        <v>2</v>
      </c>
    </row>
    <row r="9" spans="1:22" ht="15.75">
      <c r="A9">
        <v>6</v>
      </c>
      <c r="B9">
        <v>1.5</v>
      </c>
      <c r="C9">
        <v>7.1</v>
      </c>
      <c r="D9">
        <v>1.8</v>
      </c>
      <c r="E9">
        <v>8.4</v>
      </c>
      <c r="F9">
        <v>10.199999999999999</v>
      </c>
      <c r="G9">
        <f t="shared" si="1"/>
        <v>1.3000000000000007</v>
      </c>
      <c r="H9">
        <f t="shared" si="2"/>
        <v>0</v>
      </c>
      <c r="I9">
        <f t="shared" si="3"/>
        <v>1</v>
      </c>
      <c r="J9">
        <f t="shared" si="0"/>
        <v>0</v>
      </c>
      <c r="M9" s="3">
        <v>5</v>
      </c>
      <c r="N9" s="3">
        <v>11</v>
      </c>
      <c r="O9" s="3">
        <v>8</v>
      </c>
      <c r="P9">
        <f t="shared" si="4"/>
        <v>30</v>
      </c>
      <c r="Q9">
        <f t="shared" si="5"/>
        <v>34</v>
      </c>
      <c r="R9">
        <f t="shared" si="6"/>
        <v>42</v>
      </c>
      <c r="S9">
        <f t="shared" si="7"/>
        <v>4</v>
      </c>
      <c r="T9">
        <f t="shared" si="8"/>
        <v>0</v>
      </c>
      <c r="U9">
        <f t="shared" si="10"/>
        <v>2</v>
      </c>
      <c r="V9" s="6">
        <f t="shared" si="9"/>
        <v>1</v>
      </c>
    </row>
    <row r="10" spans="1:22" ht="15.75">
      <c r="M10" s="3">
        <v>6</v>
      </c>
      <c r="N10" s="3">
        <v>3</v>
      </c>
      <c r="O10" s="3">
        <v>5</v>
      </c>
      <c r="P10">
        <f t="shared" si="4"/>
        <v>33</v>
      </c>
      <c r="Q10">
        <f t="shared" si="5"/>
        <v>42</v>
      </c>
      <c r="R10">
        <f t="shared" si="6"/>
        <v>47</v>
      </c>
      <c r="S10">
        <f t="shared" si="7"/>
        <v>9</v>
      </c>
      <c r="T10">
        <f t="shared" si="8"/>
        <v>0</v>
      </c>
      <c r="U10">
        <f t="shared" si="10"/>
        <v>1</v>
      </c>
      <c r="V10" s="6">
        <f t="shared" si="9"/>
        <v>0</v>
      </c>
    </row>
    <row r="11" spans="1:22" ht="15.75">
      <c r="C11" s="3" t="s">
        <v>34</v>
      </c>
      <c r="D11" s="3">
        <f>SUM(D4:D10)</f>
        <v>8.5</v>
      </c>
      <c r="G11" s="3" t="s">
        <v>32</v>
      </c>
      <c r="H11" s="3">
        <f>MIN(I4:J9)</f>
        <v>0</v>
      </c>
      <c r="M11" s="3">
        <v>7</v>
      </c>
      <c r="N11" s="3">
        <v>15</v>
      </c>
      <c r="O11" s="3">
        <v>10</v>
      </c>
      <c r="P11">
        <f t="shared" si="4"/>
        <v>48</v>
      </c>
      <c r="Q11">
        <f t="shared" si="5"/>
        <v>48</v>
      </c>
      <c r="R11">
        <f t="shared" si="6"/>
        <v>58</v>
      </c>
      <c r="S11">
        <f t="shared" si="7"/>
        <v>0</v>
      </c>
      <c r="T11">
        <f t="shared" si="8"/>
        <v>1</v>
      </c>
      <c r="U11">
        <f t="shared" si="10"/>
        <v>0</v>
      </c>
      <c r="V11" s="6">
        <f t="shared" si="9"/>
        <v>1</v>
      </c>
    </row>
    <row r="12" spans="1:22" ht="15.75">
      <c r="G12" s="3" t="s">
        <v>33</v>
      </c>
      <c r="H12" s="3">
        <f>MAX(I4:J9)</f>
        <v>2</v>
      </c>
      <c r="M12" s="3">
        <v>8</v>
      </c>
      <c r="N12" s="3">
        <v>9</v>
      </c>
      <c r="O12" s="3">
        <v>12</v>
      </c>
      <c r="P12">
        <f t="shared" si="4"/>
        <v>57</v>
      </c>
      <c r="Q12">
        <f t="shared" si="5"/>
        <v>58</v>
      </c>
      <c r="R12">
        <f t="shared" si="6"/>
        <v>70</v>
      </c>
      <c r="S12">
        <f t="shared" si="7"/>
        <v>1</v>
      </c>
      <c r="T12">
        <f t="shared" si="8"/>
        <v>0</v>
      </c>
      <c r="U12">
        <f t="shared" si="10"/>
        <v>1</v>
      </c>
      <c r="V12" s="6">
        <f t="shared" si="9"/>
        <v>0</v>
      </c>
    </row>
    <row r="13" spans="1:22">
      <c r="G13" s="3" t="s">
        <v>31</v>
      </c>
      <c r="H13" s="3">
        <f>SUM(H4:H10)</f>
        <v>1.7000000000000006</v>
      </c>
    </row>
    <row r="14" spans="1:22">
      <c r="G14" s="3" t="s">
        <v>36</v>
      </c>
      <c r="H14" s="4">
        <f>H13/A9</f>
        <v>0.28333333333333344</v>
      </c>
    </row>
    <row r="15" spans="1:22">
      <c r="G15" s="3" t="s">
        <v>37</v>
      </c>
      <c r="H15" s="10">
        <f>D11/F9</f>
        <v>0.83333333333333337</v>
      </c>
    </row>
    <row r="16" spans="1:22">
      <c r="G16" s="3"/>
      <c r="H16" s="3"/>
      <c r="M16" t="s">
        <v>14</v>
      </c>
      <c r="N16" t="s">
        <v>15</v>
      </c>
      <c r="O16" t="s">
        <v>16</v>
      </c>
      <c r="P16" t="s">
        <v>17</v>
      </c>
      <c r="Q16" t="s">
        <v>18</v>
      </c>
      <c r="R16" t="s">
        <v>19</v>
      </c>
      <c r="S16" t="s">
        <v>20</v>
      </c>
      <c r="T16" t="s">
        <v>21</v>
      </c>
      <c r="U16" t="s">
        <v>22</v>
      </c>
      <c r="V16" t="s">
        <v>23</v>
      </c>
    </row>
    <row r="17" spans="13:22">
      <c r="M17">
        <v>1</v>
      </c>
      <c r="N17">
        <v>2</v>
      </c>
      <c r="O17">
        <v>11</v>
      </c>
      <c r="P17">
        <v>2</v>
      </c>
      <c r="Q17">
        <v>2</v>
      </c>
      <c r="R17">
        <v>13</v>
      </c>
      <c r="S17">
        <v>0</v>
      </c>
      <c r="T17">
        <v>2</v>
      </c>
      <c r="U17">
        <v>0</v>
      </c>
      <c r="V17">
        <v>1</v>
      </c>
    </row>
    <row r="18" spans="13:22">
      <c r="M18">
        <v>2</v>
      </c>
      <c r="N18">
        <v>8</v>
      </c>
      <c r="O18">
        <v>8</v>
      </c>
      <c r="P18">
        <v>10</v>
      </c>
      <c r="Q18">
        <v>13</v>
      </c>
      <c r="R18">
        <v>21</v>
      </c>
      <c r="S18">
        <v>3</v>
      </c>
      <c r="T18">
        <v>0</v>
      </c>
      <c r="U18">
        <v>1</v>
      </c>
      <c r="V18">
        <v>2</v>
      </c>
    </row>
    <row r="19" spans="13:22">
      <c r="M19">
        <v>3</v>
      </c>
      <c r="N19">
        <v>7</v>
      </c>
      <c r="O19">
        <v>5</v>
      </c>
      <c r="P19">
        <v>17</v>
      </c>
      <c r="Q19">
        <v>21</v>
      </c>
      <c r="R19">
        <v>26</v>
      </c>
      <c r="S19">
        <v>4</v>
      </c>
      <c r="T19">
        <v>0</v>
      </c>
      <c r="U19">
        <v>2</v>
      </c>
      <c r="V19">
        <v>1</v>
      </c>
    </row>
    <row r="20" spans="13:22">
      <c r="M20">
        <v>4</v>
      </c>
      <c r="N20">
        <v>2</v>
      </c>
      <c r="O20">
        <v>8</v>
      </c>
      <c r="P20">
        <v>19</v>
      </c>
      <c r="Q20">
        <v>26</v>
      </c>
      <c r="R20">
        <v>34</v>
      </c>
      <c r="S20">
        <v>7</v>
      </c>
      <c r="T20">
        <v>0</v>
      </c>
      <c r="U20">
        <v>1</v>
      </c>
      <c r="V20">
        <v>2</v>
      </c>
    </row>
    <row r="21" spans="13:22">
      <c r="M21">
        <v>5</v>
      </c>
      <c r="N21">
        <v>11</v>
      </c>
      <c r="O21">
        <v>8</v>
      </c>
      <c r="P21">
        <v>30</v>
      </c>
      <c r="Q21">
        <v>34</v>
      </c>
      <c r="R21">
        <v>42</v>
      </c>
      <c r="S21">
        <v>4</v>
      </c>
      <c r="T21">
        <v>0</v>
      </c>
      <c r="U21">
        <v>2</v>
      </c>
      <c r="V21">
        <v>2</v>
      </c>
    </row>
    <row r="22" spans="13:22">
      <c r="M22">
        <v>6</v>
      </c>
      <c r="N22">
        <v>3</v>
      </c>
      <c r="O22">
        <v>5</v>
      </c>
      <c r="P22">
        <v>33</v>
      </c>
      <c r="Q22">
        <v>42</v>
      </c>
      <c r="R22">
        <v>47</v>
      </c>
      <c r="S22">
        <v>9</v>
      </c>
      <c r="T22">
        <v>0</v>
      </c>
      <c r="U22">
        <v>2</v>
      </c>
      <c r="V22">
        <v>0</v>
      </c>
    </row>
    <row r="23" spans="13:22">
      <c r="M23">
        <v>7</v>
      </c>
      <c r="N23">
        <v>15</v>
      </c>
      <c r="O23">
        <v>10</v>
      </c>
      <c r="P23">
        <v>48</v>
      </c>
      <c r="Q23">
        <v>48</v>
      </c>
      <c r="R23">
        <v>58</v>
      </c>
      <c r="S23">
        <v>0</v>
      </c>
      <c r="T23">
        <v>1</v>
      </c>
      <c r="U23">
        <v>0</v>
      </c>
      <c r="V23">
        <v>1</v>
      </c>
    </row>
    <row r="24" spans="13:22">
      <c r="M24">
        <v>8</v>
      </c>
      <c r="N24">
        <v>9</v>
      </c>
      <c r="O24">
        <v>12</v>
      </c>
      <c r="P24">
        <v>57</v>
      </c>
      <c r="Q24">
        <v>58</v>
      </c>
      <c r="R24">
        <v>70</v>
      </c>
      <c r="S24">
        <v>1</v>
      </c>
      <c r="T24">
        <v>0</v>
      </c>
      <c r="U24">
        <v>1</v>
      </c>
      <c r="V2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A13E-8799-47B1-AC50-FEF320AB69AB}">
  <dimension ref="A1:K36"/>
  <sheetViews>
    <sheetView workbookViewId="0">
      <selection activeCell="N29" sqref="N29"/>
    </sheetView>
  </sheetViews>
  <sheetFormatPr defaultRowHeight="15"/>
  <cols>
    <col min="2" max="11" width="12.7109375" customWidth="1"/>
  </cols>
  <sheetData>
    <row r="1" spans="1:11">
      <c r="A1" t="s">
        <v>44</v>
      </c>
    </row>
    <row r="2" spans="1:11">
      <c r="B2" t="s">
        <v>35</v>
      </c>
      <c r="C2" t="s">
        <v>15</v>
      </c>
      <c r="D2" t="s">
        <v>27</v>
      </c>
      <c r="E2" t="s">
        <v>11</v>
      </c>
      <c r="F2" t="s">
        <v>12</v>
      </c>
      <c r="G2" t="s">
        <v>28</v>
      </c>
      <c r="H2" t="s">
        <v>29</v>
      </c>
      <c r="K2" s="5"/>
    </row>
    <row r="3" spans="1:11">
      <c r="B3">
        <v>1</v>
      </c>
      <c r="C3">
        <v>0</v>
      </c>
      <c r="D3">
        <v>0</v>
      </c>
      <c r="E3">
        <v>2.5</v>
      </c>
      <c r="F3">
        <v>0</v>
      </c>
      <c r="G3">
        <f>F3+E3</f>
        <v>2.5</v>
      </c>
      <c r="H3">
        <v>0</v>
      </c>
      <c r="I3">
        <f>MIN(H3,20-D3)</f>
        <v>0</v>
      </c>
    </row>
    <row r="4" spans="1:11">
      <c r="B4">
        <v>2</v>
      </c>
      <c r="C4">
        <v>1</v>
      </c>
      <c r="D4">
        <v>1</v>
      </c>
      <c r="I4">
        <f t="shared" ref="I4:I22" si="0">MIN(H4,20-D4)</f>
        <v>19</v>
      </c>
    </row>
    <row r="5" spans="1:11">
      <c r="B5">
        <v>3</v>
      </c>
      <c r="C5">
        <v>1</v>
      </c>
      <c r="D5">
        <v>2</v>
      </c>
      <c r="E5">
        <v>2</v>
      </c>
      <c r="F5">
        <f>G3</f>
        <v>2.5</v>
      </c>
      <c r="G5">
        <f t="shared" ref="G5:G21" si="1">F5+E5</f>
        <v>4.5</v>
      </c>
      <c r="H5">
        <f>G3-D5</f>
        <v>0.5</v>
      </c>
      <c r="I5">
        <f t="shared" si="0"/>
        <v>0.5</v>
      </c>
    </row>
    <row r="6" spans="1:11">
      <c r="B6">
        <v>4</v>
      </c>
      <c r="C6">
        <v>1</v>
      </c>
      <c r="D6">
        <v>3</v>
      </c>
      <c r="I6">
        <f t="shared" si="0"/>
        <v>17</v>
      </c>
    </row>
    <row r="7" spans="1:11">
      <c r="B7">
        <v>5</v>
      </c>
      <c r="C7">
        <v>1</v>
      </c>
      <c r="D7">
        <v>4</v>
      </c>
      <c r="E7">
        <v>3</v>
      </c>
      <c r="F7">
        <f>G5</f>
        <v>4.5</v>
      </c>
      <c r="G7">
        <f t="shared" si="1"/>
        <v>7.5</v>
      </c>
      <c r="H7">
        <f t="shared" ref="H7" si="2">G5-D7</f>
        <v>0.5</v>
      </c>
      <c r="I7">
        <f t="shared" si="0"/>
        <v>0.5</v>
      </c>
    </row>
    <row r="8" spans="1:11">
      <c r="B8">
        <v>6</v>
      </c>
      <c r="C8">
        <v>1</v>
      </c>
      <c r="D8">
        <v>5</v>
      </c>
      <c r="E8">
        <v>1.5</v>
      </c>
      <c r="F8">
        <f>G7</f>
        <v>7.5</v>
      </c>
      <c r="G8">
        <f t="shared" si="1"/>
        <v>9</v>
      </c>
      <c r="H8">
        <f>G7-D8</f>
        <v>2.5</v>
      </c>
      <c r="I8">
        <f t="shared" si="0"/>
        <v>2.5</v>
      </c>
    </row>
    <row r="9" spans="1:11">
      <c r="B9">
        <v>7</v>
      </c>
      <c r="C9">
        <v>1</v>
      </c>
      <c r="D9">
        <v>6</v>
      </c>
      <c r="I9">
        <f t="shared" si="0"/>
        <v>14</v>
      </c>
    </row>
    <row r="10" spans="1:11">
      <c r="B10">
        <v>8</v>
      </c>
      <c r="C10">
        <v>1</v>
      </c>
      <c r="D10">
        <v>7</v>
      </c>
      <c r="E10">
        <v>2</v>
      </c>
      <c r="F10">
        <f>G8</f>
        <v>9</v>
      </c>
      <c r="G10">
        <f t="shared" si="1"/>
        <v>11</v>
      </c>
      <c r="H10">
        <f>G8-D10</f>
        <v>2</v>
      </c>
      <c r="I10">
        <f t="shared" si="0"/>
        <v>2</v>
      </c>
    </row>
    <row r="11" spans="1:11">
      <c r="B11">
        <v>9</v>
      </c>
      <c r="C11">
        <v>1</v>
      </c>
      <c r="D11">
        <v>8</v>
      </c>
      <c r="E11">
        <v>1</v>
      </c>
      <c r="F11">
        <f>G10</f>
        <v>11</v>
      </c>
      <c r="G11">
        <f t="shared" si="1"/>
        <v>12</v>
      </c>
      <c r="H11">
        <f>G10-D11</f>
        <v>3</v>
      </c>
      <c r="I11">
        <f t="shared" si="0"/>
        <v>3</v>
      </c>
    </row>
    <row r="12" spans="1:11">
      <c r="B12">
        <v>10</v>
      </c>
      <c r="C12">
        <v>1</v>
      </c>
      <c r="D12">
        <v>9</v>
      </c>
      <c r="I12">
        <f t="shared" si="0"/>
        <v>11</v>
      </c>
    </row>
    <row r="13" spans="1:11">
      <c r="B13">
        <v>11</v>
      </c>
      <c r="C13">
        <v>1</v>
      </c>
      <c r="D13">
        <v>10</v>
      </c>
      <c r="I13">
        <f t="shared" si="0"/>
        <v>10</v>
      </c>
    </row>
    <row r="14" spans="1:11">
      <c r="B14">
        <v>12</v>
      </c>
      <c r="C14">
        <v>1</v>
      </c>
      <c r="D14">
        <v>11</v>
      </c>
      <c r="I14">
        <f t="shared" si="0"/>
        <v>9</v>
      </c>
    </row>
    <row r="15" spans="1:11">
      <c r="B15">
        <v>13</v>
      </c>
      <c r="C15">
        <v>1</v>
      </c>
      <c r="D15">
        <v>12</v>
      </c>
      <c r="E15">
        <v>2</v>
      </c>
      <c r="F15">
        <f>G11</f>
        <v>12</v>
      </c>
      <c r="G15">
        <f t="shared" si="1"/>
        <v>14</v>
      </c>
      <c r="H15">
        <f>G11-D15</f>
        <v>0</v>
      </c>
      <c r="I15">
        <f t="shared" si="0"/>
        <v>0</v>
      </c>
    </row>
    <row r="16" spans="1:11">
      <c r="B16">
        <v>14</v>
      </c>
      <c r="C16">
        <v>1</v>
      </c>
      <c r="D16">
        <v>13</v>
      </c>
      <c r="I16">
        <f t="shared" si="0"/>
        <v>7</v>
      </c>
    </row>
    <row r="17" spans="1:9">
      <c r="B17">
        <v>15</v>
      </c>
      <c r="C17">
        <v>1</v>
      </c>
      <c r="D17">
        <v>14</v>
      </c>
      <c r="I17">
        <f t="shared" si="0"/>
        <v>6</v>
      </c>
    </row>
    <row r="18" spans="1:9">
      <c r="B18">
        <v>16</v>
      </c>
      <c r="C18">
        <v>1</v>
      </c>
      <c r="D18">
        <v>15</v>
      </c>
      <c r="E18">
        <v>0.5</v>
      </c>
      <c r="F18">
        <f>G15</f>
        <v>14</v>
      </c>
      <c r="G18">
        <f t="shared" si="1"/>
        <v>14.5</v>
      </c>
      <c r="H18">
        <f>MAX(G15-D18,0)</f>
        <v>0</v>
      </c>
      <c r="I18">
        <f t="shared" si="0"/>
        <v>0</v>
      </c>
    </row>
    <row r="19" spans="1:9">
      <c r="B19">
        <v>17</v>
      </c>
      <c r="C19">
        <v>1</v>
      </c>
      <c r="D19">
        <v>16</v>
      </c>
      <c r="I19">
        <f t="shared" si="0"/>
        <v>4</v>
      </c>
    </row>
    <row r="20" spans="1:9">
      <c r="B20">
        <v>18</v>
      </c>
      <c r="C20">
        <v>1</v>
      </c>
      <c r="D20">
        <v>17</v>
      </c>
      <c r="E20">
        <v>1.5</v>
      </c>
      <c r="F20">
        <f>G18</f>
        <v>14.5</v>
      </c>
      <c r="G20">
        <f t="shared" si="1"/>
        <v>16</v>
      </c>
      <c r="H20">
        <f>MAX(G18-D20,0)</f>
        <v>0</v>
      </c>
      <c r="I20">
        <f t="shared" si="0"/>
        <v>0</v>
      </c>
    </row>
    <row r="21" spans="1:9">
      <c r="B21">
        <v>19</v>
      </c>
      <c r="C21">
        <v>1</v>
      </c>
      <c r="D21">
        <v>18</v>
      </c>
      <c r="E21">
        <v>3</v>
      </c>
      <c r="F21">
        <f>G20</f>
        <v>16</v>
      </c>
      <c r="G21">
        <f t="shared" si="1"/>
        <v>19</v>
      </c>
      <c r="H21">
        <f>MAX(G20-D21,0)</f>
        <v>0</v>
      </c>
      <c r="I21">
        <f t="shared" si="0"/>
        <v>0</v>
      </c>
    </row>
    <row r="22" spans="1:9">
      <c r="B22">
        <v>20</v>
      </c>
      <c r="C22">
        <v>1</v>
      </c>
      <c r="D22">
        <v>19</v>
      </c>
      <c r="I22">
        <f t="shared" si="0"/>
        <v>1</v>
      </c>
    </row>
    <row r="23" spans="1:9">
      <c r="F23" s="11" t="s">
        <v>40</v>
      </c>
      <c r="G23" s="12">
        <f>COUNT(G3:G22)</f>
        <v>10</v>
      </c>
    </row>
    <row r="24" spans="1:9">
      <c r="D24" t="s">
        <v>39</v>
      </c>
      <c r="E24">
        <f>SUM(E3:E22)</f>
        <v>19</v>
      </c>
      <c r="G24" t="s">
        <v>41</v>
      </c>
      <c r="H24">
        <f>SUM(H3:H22)</f>
        <v>8.5</v>
      </c>
      <c r="I24">
        <f>SUM(I3:I23)</f>
        <v>106.5</v>
      </c>
    </row>
    <row r="25" spans="1:9">
      <c r="D25" s="3" t="s">
        <v>38</v>
      </c>
      <c r="E25" s="3">
        <f>E24/B22</f>
        <v>0.95</v>
      </c>
      <c r="G25" s="3" t="s">
        <v>42</v>
      </c>
      <c r="H25" s="3">
        <f>H24/G23</f>
        <v>0.85</v>
      </c>
      <c r="I25">
        <f>I24/B22</f>
        <v>5.3250000000000002</v>
      </c>
    </row>
    <row r="27" spans="1:9">
      <c r="B27" s="13" t="s">
        <v>43</v>
      </c>
      <c r="C27" s="13"/>
      <c r="D27" s="13"/>
      <c r="E27" s="13"/>
      <c r="F27" s="13"/>
      <c r="G27" s="13"/>
      <c r="H27" s="13"/>
      <c r="I27" s="13"/>
    </row>
    <row r="28" spans="1:9">
      <c r="B28" s="13"/>
      <c r="C28" s="13"/>
      <c r="D28" s="13"/>
      <c r="E28" s="13"/>
      <c r="F28" s="13"/>
      <c r="G28" s="13"/>
      <c r="H28" s="13"/>
      <c r="I28" s="13"/>
    </row>
    <row r="29" spans="1:9">
      <c r="B29" s="13"/>
      <c r="C29" s="13"/>
      <c r="D29" s="13"/>
      <c r="E29" s="13"/>
      <c r="F29" s="13"/>
      <c r="G29" s="13"/>
      <c r="H29" s="13"/>
      <c r="I29" s="13"/>
    </row>
    <row r="30" spans="1:9">
      <c r="B30" s="13"/>
      <c r="C30" s="13"/>
      <c r="D30" s="13"/>
      <c r="E30" s="13"/>
      <c r="F30" s="13"/>
      <c r="G30" s="13"/>
      <c r="H30" s="13"/>
      <c r="I30" s="13"/>
    </row>
    <row r="32" spans="1:9">
      <c r="A32" t="s">
        <v>45</v>
      </c>
    </row>
    <row r="33" spans="2:9">
      <c r="B33" s="13" t="s">
        <v>46</v>
      </c>
      <c r="C33" s="13"/>
      <c r="D33" s="13"/>
      <c r="E33" s="13"/>
      <c r="F33" s="13"/>
      <c r="G33" s="13"/>
      <c r="H33" s="13"/>
      <c r="I33" s="13"/>
    </row>
    <row r="34" spans="2:9">
      <c r="B34" s="13"/>
      <c r="C34" s="13"/>
      <c r="D34" s="13"/>
      <c r="E34" s="13"/>
      <c r="F34" s="13"/>
      <c r="G34" s="13"/>
      <c r="H34" s="13"/>
      <c r="I34" s="13"/>
    </row>
    <row r="35" spans="2:9">
      <c r="B35" s="13"/>
      <c r="C35" s="13"/>
      <c r="D35" s="13"/>
      <c r="E35" s="13"/>
      <c r="F35" s="13"/>
      <c r="G35" s="13"/>
      <c r="H35" s="13"/>
      <c r="I35" s="13"/>
    </row>
    <row r="36" spans="2:9">
      <c r="B36" s="13"/>
      <c r="C36" s="13"/>
      <c r="D36" s="13"/>
      <c r="E36" s="13"/>
      <c r="F36" s="13"/>
      <c r="G36" s="13"/>
      <c r="H36" s="13"/>
      <c r="I36" s="13"/>
    </row>
  </sheetData>
  <mergeCells count="2">
    <mergeCell ref="B27:I30"/>
    <mergeCell ref="B33:I3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9439654FE6244FA9E241E5AE00E328" ma:contentTypeVersion="3" ma:contentTypeDescription="Create a new document." ma:contentTypeScope="" ma:versionID="a89bb95f094e65319459830d243611b7">
  <xsd:schema xmlns:xsd="http://www.w3.org/2001/XMLSchema" xmlns:xs="http://www.w3.org/2001/XMLSchema" xmlns:p="http://schemas.microsoft.com/office/2006/metadata/properties" xmlns:ns2="2cc90ccf-24de-4b76-83b3-ca1de19082ae" targetNamespace="http://schemas.microsoft.com/office/2006/metadata/properties" ma:root="true" ma:fieldsID="899db845fbe5316e0d8052354f94b699" ns2:_="">
    <xsd:import namespace="2cc90ccf-24de-4b76-83b3-ca1de19082a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c90ccf-24de-4b76-83b3-ca1de19082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174401D8-2173-4EE6-826B-7D0C5B5533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c90ccf-24de-4b76-83b3-ca1de19082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6D31AE-881B-460A-9A8D-43E49C3E45CA}">
  <ds:schemaRefs>
    <ds:schemaRef ds:uri="http://schemas.microsoft.com/sharepoint/v3/contenttype/forms"/>
  </ds:schemaRefs>
</ds:datastoreItem>
</file>

<file path=customXml/itemProps3.xml><?xml version="1.0" encoding="utf-8"?>
<ds:datastoreItem xmlns:ds="http://schemas.openxmlformats.org/officeDocument/2006/customXml" ds:itemID="{FE0E27F3-1A42-4779-BCF9-6ACF5C053D96}">
  <ds:schemaRef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dcmitype/"/>
    <ds:schemaRef ds:uri="http://schemas.microsoft.com/office/2006/documentManagement/types"/>
    <ds:schemaRef ds:uri="2cc90ccf-24de-4b76-83b3-ca1de19082ae"/>
    <ds:schemaRef ds:uri="http://www.w3.org/XML/1998/namespace"/>
    <ds:schemaRef ds:uri="http://purl.org/dc/elements/1.1/"/>
  </ds:schemaRefs>
</ds:datastoreItem>
</file>

<file path=customXml/itemProps4.xml><?xml version="1.0" encoding="utf-8"?>
<ds:datastoreItem xmlns:ds="http://schemas.openxmlformats.org/officeDocument/2006/customXml" ds:itemID="{A606C039-86F7-4EF7-AA14-29B4537C3C4E}">
  <ds:schemaRefs>
    <ds:schemaRef ds:uri="http://schemas.microsoft.com/DataMashup"/>
  </ds:schemaRefs>
</ds:datastoreItem>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 1</vt:lpstr>
      <vt:lpstr>Question 2</vt:lpstr>
      <vt:lpstr>Question 3 &amp;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Wesley, Charles J (CJ) CIV USN NUWC NEWPORT RI (USA)</dc:creator>
  <cp:lastModifiedBy>Wesley, Charles (CIV)</cp:lastModifiedBy>
  <dcterms:created xsi:type="dcterms:W3CDTF">2026-01-14T18:32:02Z</dcterms:created>
  <dcterms:modified xsi:type="dcterms:W3CDTF">2026-01-15T02:29:37Z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0x010100AA9439654FE6244FA9E241E5AE00E328</vt:lpwstr>
  </property>
</Properties>
</file>