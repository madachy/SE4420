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andrew_m_connors2_civ_army_mil/Documents/Documents/!!Naval Postgraduate School/!AY26_Q2/SE4420 - Modeling and SImulation in ACQ/Homework/"/>
    </mc:Choice>
  </mc:AlternateContent>
  <xr:revisionPtr revIDLastSave="139" documentId="8_{1D0E9333-0A05-4301-A4AA-7235DC79A6B6}" xr6:coauthVersionLast="47" xr6:coauthVersionMax="47" xr10:uidLastSave="{36288E50-73EC-466B-9499-84141996008D}"/>
  <bookViews>
    <workbookView xWindow="28680" yWindow="-240" windowWidth="29040" windowHeight="15720" xr2:uid="{E138056C-722E-4139-BA0F-CD5A4FDBABC5}"/>
  </bookViews>
  <sheets>
    <sheet name="Question 1" sheetId="1" r:id="rId1"/>
    <sheet name="Question 2" sheetId="2" r:id="rId2"/>
    <sheet name="Question 3" sheetId="4" r:id="rId3"/>
    <sheet name="Question 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" l="1"/>
  <c r="F27" i="4"/>
  <c r="D26" i="2"/>
  <c r="F26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5" i="4"/>
  <c r="D25" i="2"/>
  <c r="D24" i="2"/>
  <c r="D23" i="2"/>
  <c r="D22" i="2"/>
  <c r="D21" i="2"/>
  <c r="I14" i="2"/>
  <c r="I15" i="2"/>
  <c r="I16" i="2"/>
  <c r="I17" i="2"/>
  <c r="I13" i="2"/>
  <c r="F14" i="2"/>
  <c r="F13" i="2"/>
  <c r="G13" i="2"/>
  <c r="H13" i="2"/>
  <c r="K12" i="2"/>
  <c r="J13" i="2"/>
  <c r="E13" i="2"/>
  <c r="E14" i="2"/>
  <c r="E15" i="2"/>
  <c r="E16" i="2"/>
  <c r="E17" i="2"/>
  <c r="G12" i="2"/>
  <c r="F12" i="2"/>
  <c r="E12" i="2"/>
  <c r="I35" i="1"/>
  <c r="B34" i="1"/>
  <c r="E25" i="2"/>
  <c r="E26" i="2"/>
  <c r="E23" i="2"/>
  <c r="E24" i="2"/>
  <c r="E22" i="2"/>
  <c r="E21" i="2"/>
  <c r="C34" i="1"/>
  <c r="H14" i="2" l="1"/>
  <c r="G14" i="2"/>
  <c r="F15" i="2" s="1"/>
  <c r="K13" i="2"/>
  <c r="G15" i="2" l="1"/>
  <c r="F16" i="2" s="1"/>
  <c r="H15" i="2"/>
  <c r="G16" i="2" l="1"/>
  <c r="F17" i="2" s="1"/>
  <c r="H16" i="2"/>
  <c r="G17" i="2" l="1"/>
  <c r="H17" i="2"/>
  <c r="J14" i="2" l="1"/>
  <c r="K14" i="2" l="1"/>
  <c r="J15" i="2" s="1"/>
  <c r="K15" i="2" l="1"/>
  <c r="J16" i="2" s="1"/>
  <c r="K16" i="2" s="1"/>
  <c r="J17" i="2" s="1"/>
</calcChain>
</file>

<file path=xl/sharedStrings.xml><?xml version="1.0" encoding="utf-8"?>
<sst xmlns="http://schemas.openxmlformats.org/spreadsheetml/2006/main" count="43" uniqueCount="36">
  <si>
    <t>que length</t>
  </si>
  <si>
    <t>duration</t>
  </si>
  <si>
    <t>Average Que Length</t>
  </si>
  <si>
    <t xml:space="preserve">L_bar= </t>
  </si>
  <si>
    <t>L_bar= ((3*5)+4*10)+(2*6)+(3*9))/30</t>
  </si>
  <si>
    <t>-OR-</t>
  </si>
  <si>
    <t>arrival</t>
  </si>
  <si>
    <t>Min Queue=?</t>
  </si>
  <si>
    <t>Max Queue=?</t>
  </si>
  <si>
    <t>Total Queue=?</t>
  </si>
  <si>
    <t>Average Queue Wait=?</t>
  </si>
  <si>
    <t>Total Idle Time =?</t>
  </si>
  <si>
    <t>Resource Utilization=?</t>
  </si>
  <si>
    <t>Helicopter #</t>
  </si>
  <si>
    <t>repair time</t>
  </si>
  <si>
    <t>repair start</t>
  </si>
  <si>
    <t>repair end</t>
  </si>
  <si>
    <t>wait time</t>
  </si>
  <si>
    <t>mechanic idle time</t>
  </si>
  <si>
    <t>que end</t>
  </si>
  <si>
    <t>que start</t>
  </si>
  <si>
    <t>arrival clock time</t>
  </si>
  <si>
    <t xml:space="preserve"> </t>
  </si>
  <si>
    <t>Arrival Interval time</t>
  </si>
  <si>
    <t>Ship</t>
  </si>
  <si>
    <t>Interarrival Time</t>
  </si>
  <si>
    <t>Service Time</t>
  </si>
  <si>
    <t>Arrival Time</t>
  </si>
  <si>
    <t>Service Start</t>
  </si>
  <si>
    <t>Service End</t>
  </si>
  <si>
    <t xml:space="preserve">Wait Time </t>
  </si>
  <si>
    <t>C. it will decrease</t>
  </si>
  <si>
    <t>resource utilization with a second facility=</t>
  </si>
  <si>
    <t xml:space="preserve">In this case the first facility's reseource utilization will decrease because it leaves the facility with less work and more down time when there is no ship in the que. </t>
  </si>
  <si>
    <t>1)  Average Wait time for ships needing service=</t>
  </si>
  <si>
    <t>2)  Resource Utilization (20 days)=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</si>
</sst>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/>
    </xf>
    <xf numFmtId="2" fontId="0" fillId="2" borderId="0" xfId="0" applyNumberFormat="1" applyFill="1"/>
    <xf numFmtId="0" fontId="0" fillId="2" borderId="0" xfId="0" applyFill="1" applyAlignment="1">
      <alignment horizont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2" fontId="0" fillId="2" borderId="0" xfId="0" applyNumberFormat="1" applyFill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9A23-B419-417A-9573-A38CAFED29AD}">
  <dimension ref="A2:I35"/>
  <sheetViews>
    <sheetView tabSelected="1" workbookViewId="0">
      <selection activeCell="J26" sqref="J26"/>
    </sheetView>
  </sheetViews>
  <sheetFormatPr defaultRowHeight="15" x14ac:dyDescent="0.25"/>
  <cols>
    <col min="1" max="1" width="18.28515625" bestFit="1" customWidth="1"/>
    <col min="2" max="2" width="10.140625" bestFit="1" customWidth="1"/>
  </cols>
  <sheetData>
    <row r="2" spans="2:3" x14ac:dyDescent="0.25">
      <c r="B2" t="s">
        <v>0</v>
      </c>
      <c r="C2" t="s">
        <v>1</v>
      </c>
    </row>
    <row r="3" spans="2:3" x14ac:dyDescent="0.25">
      <c r="B3">
        <v>3</v>
      </c>
      <c r="C3">
        <v>1</v>
      </c>
    </row>
    <row r="4" spans="2:3" x14ac:dyDescent="0.25">
      <c r="B4">
        <v>3</v>
      </c>
      <c r="C4">
        <v>2</v>
      </c>
    </row>
    <row r="5" spans="2:3" x14ac:dyDescent="0.25">
      <c r="B5">
        <v>3</v>
      </c>
      <c r="C5">
        <v>3</v>
      </c>
    </row>
    <row r="6" spans="2:3" x14ac:dyDescent="0.25">
      <c r="B6">
        <v>3</v>
      </c>
      <c r="C6">
        <v>4</v>
      </c>
    </row>
    <row r="7" spans="2:3" x14ac:dyDescent="0.25">
      <c r="B7">
        <v>3</v>
      </c>
      <c r="C7">
        <v>5</v>
      </c>
    </row>
    <row r="8" spans="2:3" x14ac:dyDescent="0.25">
      <c r="B8">
        <v>4</v>
      </c>
      <c r="C8">
        <v>6</v>
      </c>
    </row>
    <row r="9" spans="2:3" x14ac:dyDescent="0.25">
      <c r="B9">
        <v>4</v>
      </c>
      <c r="C9">
        <v>7</v>
      </c>
    </row>
    <row r="10" spans="2:3" x14ac:dyDescent="0.25">
      <c r="B10">
        <v>4</v>
      </c>
      <c r="C10">
        <v>8</v>
      </c>
    </row>
    <row r="11" spans="2:3" x14ac:dyDescent="0.25">
      <c r="B11">
        <v>4</v>
      </c>
      <c r="C11">
        <v>9</v>
      </c>
    </row>
    <row r="12" spans="2:3" x14ac:dyDescent="0.25">
      <c r="B12">
        <v>4</v>
      </c>
      <c r="C12">
        <v>10</v>
      </c>
    </row>
    <row r="13" spans="2:3" x14ac:dyDescent="0.25">
      <c r="B13">
        <v>4</v>
      </c>
      <c r="C13">
        <v>11</v>
      </c>
    </row>
    <row r="14" spans="2:3" x14ac:dyDescent="0.25">
      <c r="B14">
        <v>4</v>
      </c>
      <c r="C14">
        <v>12</v>
      </c>
    </row>
    <row r="15" spans="2:3" x14ac:dyDescent="0.25">
      <c r="B15">
        <v>4</v>
      </c>
      <c r="C15">
        <v>13</v>
      </c>
    </row>
    <row r="16" spans="2:3" x14ac:dyDescent="0.25">
      <c r="B16">
        <v>4</v>
      </c>
      <c r="C16">
        <v>14</v>
      </c>
    </row>
    <row r="17" spans="2:3" x14ac:dyDescent="0.25">
      <c r="B17">
        <v>4</v>
      </c>
      <c r="C17">
        <v>15</v>
      </c>
    </row>
    <row r="18" spans="2:3" x14ac:dyDescent="0.25">
      <c r="B18">
        <v>2</v>
      </c>
      <c r="C18">
        <v>16</v>
      </c>
    </row>
    <row r="19" spans="2:3" x14ac:dyDescent="0.25">
      <c r="B19">
        <v>2</v>
      </c>
      <c r="C19">
        <v>17</v>
      </c>
    </row>
    <row r="20" spans="2:3" x14ac:dyDescent="0.25">
      <c r="B20">
        <v>2</v>
      </c>
      <c r="C20">
        <v>18</v>
      </c>
    </row>
    <row r="21" spans="2:3" x14ac:dyDescent="0.25">
      <c r="B21">
        <v>2</v>
      </c>
      <c r="C21">
        <v>19</v>
      </c>
    </row>
    <row r="22" spans="2:3" x14ac:dyDescent="0.25">
      <c r="B22">
        <v>2</v>
      </c>
      <c r="C22">
        <v>20</v>
      </c>
    </row>
    <row r="23" spans="2:3" x14ac:dyDescent="0.25">
      <c r="B23">
        <v>2</v>
      </c>
      <c r="C23">
        <v>21</v>
      </c>
    </row>
    <row r="24" spans="2:3" x14ac:dyDescent="0.25">
      <c r="B24">
        <v>3</v>
      </c>
      <c r="C24">
        <v>22</v>
      </c>
    </row>
    <row r="25" spans="2:3" x14ac:dyDescent="0.25">
      <c r="B25">
        <v>3</v>
      </c>
      <c r="C25">
        <v>23</v>
      </c>
    </row>
    <row r="26" spans="2:3" x14ac:dyDescent="0.25">
      <c r="B26">
        <v>3</v>
      </c>
      <c r="C26">
        <v>24</v>
      </c>
    </row>
    <row r="27" spans="2:3" x14ac:dyDescent="0.25">
      <c r="B27">
        <v>3</v>
      </c>
      <c r="C27">
        <v>25</v>
      </c>
    </row>
    <row r="28" spans="2:3" x14ac:dyDescent="0.25">
      <c r="B28">
        <v>3</v>
      </c>
      <c r="C28">
        <v>26</v>
      </c>
    </row>
    <row r="29" spans="2:3" x14ac:dyDescent="0.25">
      <c r="B29">
        <v>3</v>
      </c>
      <c r="C29">
        <v>27</v>
      </c>
    </row>
    <row r="30" spans="2:3" x14ac:dyDescent="0.25">
      <c r="B30">
        <v>3</v>
      </c>
      <c r="C30">
        <v>28</v>
      </c>
    </row>
    <row r="31" spans="2:3" x14ac:dyDescent="0.25">
      <c r="B31">
        <v>3</v>
      </c>
      <c r="C31">
        <v>29</v>
      </c>
    </row>
    <row r="32" spans="2:3" x14ac:dyDescent="0.25">
      <c r="B32">
        <v>3</v>
      </c>
      <c r="C32">
        <v>30</v>
      </c>
    </row>
    <row r="34" spans="1:9" x14ac:dyDescent="0.25">
      <c r="A34" t="s">
        <v>2</v>
      </c>
      <c r="B34" s="11">
        <f xml:space="preserve"> AVERAGE(B3:B32)</f>
        <v>3.1333333333333333</v>
      </c>
      <c r="C34" t="str">
        <f ca="1">_xlfn.FORMULATEXT(B34)</f>
        <v>= AVERAGE(B3:B32)</v>
      </c>
      <c r="F34" s="17" t="s">
        <v>5</v>
      </c>
      <c r="H34" t="s">
        <v>4</v>
      </c>
    </row>
    <row r="35" spans="1:9" x14ac:dyDescent="0.25">
      <c r="F35" s="18"/>
      <c r="H35" t="s">
        <v>3</v>
      </c>
      <c r="I35" s="11">
        <f>((3*5)+(4*10)+(2*6)+(3*9))/30</f>
        <v>3.1333333333333333</v>
      </c>
    </row>
  </sheetData>
  <mergeCells count="1">
    <mergeCell ref="F34:F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1B9D-CCD1-4F71-B8CC-2D804436F3BC}">
  <dimension ref="A2:K27"/>
  <sheetViews>
    <sheetView workbookViewId="0">
      <selection activeCell="G30" sqref="G30"/>
    </sheetView>
  </sheetViews>
  <sheetFormatPr defaultRowHeight="15" x14ac:dyDescent="0.25"/>
  <cols>
    <col min="1" max="1" width="8.5703125" bestFit="1" customWidth="1"/>
    <col min="2" max="2" width="11.42578125" customWidth="1"/>
    <col min="9" max="9" width="9.7109375" bestFit="1" customWidth="1"/>
  </cols>
  <sheetData>
    <row r="2" spans="1:11" x14ac:dyDescent="0.25">
      <c r="A2" s="4" t="s">
        <v>6</v>
      </c>
      <c r="B2">
        <v>0</v>
      </c>
      <c r="C2">
        <v>1.4</v>
      </c>
      <c r="D2">
        <v>2.1</v>
      </c>
      <c r="E2">
        <v>1.9</v>
      </c>
      <c r="F2">
        <v>0.2</v>
      </c>
      <c r="G2">
        <v>1.5</v>
      </c>
    </row>
    <row r="3" spans="1:11" x14ac:dyDescent="0.25">
      <c r="A3" s="4" t="s">
        <v>1</v>
      </c>
      <c r="B3">
        <v>2.2000000000000002</v>
      </c>
      <c r="C3">
        <v>1.2</v>
      </c>
      <c r="D3">
        <v>0.3</v>
      </c>
      <c r="E3">
        <v>2.8</v>
      </c>
      <c r="F3">
        <v>0.2</v>
      </c>
      <c r="G3">
        <v>1.8</v>
      </c>
    </row>
    <row r="4" spans="1:11" x14ac:dyDescent="0.25">
      <c r="A4" s="4"/>
      <c r="K4" s="4" t="s">
        <v>8</v>
      </c>
    </row>
    <row r="5" spans="1:11" x14ac:dyDescent="0.25">
      <c r="K5" s="4" t="s">
        <v>7</v>
      </c>
    </row>
    <row r="6" spans="1:11" x14ac:dyDescent="0.25">
      <c r="K6" s="4" t="s">
        <v>9</v>
      </c>
    </row>
    <row r="7" spans="1:11" x14ac:dyDescent="0.25">
      <c r="K7" s="4" t="s">
        <v>10</v>
      </c>
    </row>
    <row r="8" spans="1:11" x14ac:dyDescent="0.25">
      <c r="K8" s="4" t="s">
        <v>11</v>
      </c>
    </row>
    <row r="9" spans="1:11" x14ac:dyDescent="0.25">
      <c r="K9" s="4" t="s">
        <v>12</v>
      </c>
    </row>
    <row r="11" spans="1:11" ht="45" x14ac:dyDescent="0.25">
      <c r="B11" s="5" t="s">
        <v>13</v>
      </c>
      <c r="C11" s="5" t="s">
        <v>23</v>
      </c>
      <c r="D11" s="5" t="s">
        <v>14</v>
      </c>
      <c r="E11" s="5" t="s">
        <v>21</v>
      </c>
      <c r="F11" s="5" t="s">
        <v>15</v>
      </c>
      <c r="G11" s="5" t="s">
        <v>16</v>
      </c>
      <c r="H11" s="5" t="s">
        <v>17</v>
      </c>
      <c r="I11" s="5" t="s">
        <v>18</v>
      </c>
      <c r="J11" s="5" t="s">
        <v>20</v>
      </c>
      <c r="K11" s="5" t="s">
        <v>19</v>
      </c>
    </row>
    <row r="12" spans="1:11" x14ac:dyDescent="0.25">
      <c r="B12" s="8">
        <v>1</v>
      </c>
      <c r="C12" s="8">
        <v>0</v>
      </c>
      <c r="D12" s="8">
        <v>2.2000000000000002</v>
      </c>
      <c r="E12" s="8">
        <f>C12</f>
        <v>0</v>
      </c>
      <c r="F12" s="8">
        <f>E12</f>
        <v>0</v>
      </c>
      <c r="G12" s="8">
        <f>F12+D12</f>
        <v>2.2000000000000002</v>
      </c>
      <c r="H12" s="8">
        <v>0</v>
      </c>
      <c r="I12" s="8">
        <v>0</v>
      </c>
      <c r="J12" s="8">
        <v>0</v>
      </c>
      <c r="K12" s="8">
        <f t="shared" ref="K12:K13" si="0">IF((IF(E13&lt;G12,J12+1,J12-1))&lt;0,0,IF(E13&lt;G12,J12+1,J12-1))</f>
        <v>1</v>
      </c>
    </row>
    <row r="13" spans="1:11" x14ac:dyDescent="0.25">
      <c r="B13" s="1">
        <v>2</v>
      </c>
      <c r="C13" s="1">
        <v>1.4</v>
      </c>
      <c r="D13" s="1">
        <v>1.2</v>
      </c>
      <c r="E13" s="1">
        <f>E12+C13</f>
        <v>1.4</v>
      </c>
      <c r="F13" s="1">
        <f>IF(G12&gt;E13,G12,E13)</f>
        <v>2.2000000000000002</v>
      </c>
      <c r="G13" s="1">
        <f t="shared" ref="G13:G17" si="1">F13+D13</f>
        <v>3.4000000000000004</v>
      </c>
      <c r="H13" s="1">
        <f>IF(G12-E13&gt;0,G12-E13,0)</f>
        <v>0.80000000000000027</v>
      </c>
      <c r="I13" s="1">
        <f>IF(G12-E13&lt;0,E13-G12,0)</f>
        <v>0</v>
      </c>
      <c r="J13" s="1">
        <f>K12</f>
        <v>1</v>
      </c>
      <c r="K13" s="1">
        <f t="shared" si="0"/>
        <v>0</v>
      </c>
    </row>
    <row r="14" spans="1:11" x14ac:dyDescent="0.25">
      <c r="B14" s="1">
        <v>3</v>
      </c>
      <c r="C14" s="1">
        <v>2.1</v>
      </c>
      <c r="D14" s="1">
        <v>0.3</v>
      </c>
      <c r="E14" s="1">
        <f t="shared" ref="E14:E17" si="2">E13+C14</f>
        <v>3.5</v>
      </c>
      <c r="F14" s="1">
        <f t="shared" ref="F14:F17" si="3">IF(G13&gt;E14,G13,E14)</f>
        <v>3.5</v>
      </c>
      <c r="G14" s="1">
        <f t="shared" si="1"/>
        <v>3.8</v>
      </c>
      <c r="H14" s="1">
        <f t="shared" ref="H14:H17" si="4">IF(G13-E14&gt;0,G13-E14,0)</f>
        <v>0</v>
      </c>
      <c r="I14" s="1">
        <f t="shared" ref="I14:I17" si="5">IF(G13-E14&lt;0,E14-G13,0)</f>
        <v>9.9999999999999645E-2</v>
      </c>
      <c r="J14" s="1">
        <f t="shared" ref="J14:J17" si="6">K13</f>
        <v>0</v>
      </c>
      <c r="K14" s="1">
        <f>IF((IF(E15&lt;G14,J14+1,J14-1))&lt;0,0,IF(E15&lt;G14,J14+1,J14-1))</f>
        <v>0</v>
      </c>
    </row>
    <row r="15" spans="1:11" x14ac:dyDescent="0.25">
      <c r="B15" s="1">
        <v>4</v>
      </c>
      <c r="C15" s="1">
        <v>1.9</v>
      </c>
      <c r="D15" s="1">
        <v>2.8</v>
      </c>
      <c r="E15" s="1">
        <f t="shared" si="2"/>
        <v>5.4</v>
      </c>
      <c r="F15" s="1">
        <f t="shared" si="3"/>
        <v>5.4</v>
      </c>
      <c r="G15" s="1">
        <f t="shared" si="1"/>
        <v>8.1999999999999993</v>
      </c>
      <c r="H15" s="1">
        <f t="shared" si="4"/>
        <v>0</v>
      </c>
      <c r="I15" s="1">
        <f t="shared" si="5"/>
        <v>1.6000000000000005</v>
      </c>
      <c r="J15" s="1">
        <f t="shared" si="6"/>
        <v>0</v>
      </c>
      <c r="K15" s="1">
        <f t="shared" ref="K15:K16" si="7">IF((IF(E16&lt;G15,J15+1,J15-1))&lt;0,0,IF(E16&lt;G15,J15+1,J15-1))</f>
        <v>1</v>
      </c>
    </row>
    <row r="16" spans="1:11" x14ac:dyDescent="0.25">
      <c r="B16" s="1">
        <v>5</v>
      </c>
      <c r="C16" s="1">
        <v>0.2</v>
      </c>
      <c r="D16" s="1">
        <v>0.2</v>
      </c>
      <c r="E16" s="1">
        <f t="shared" si="2"/>
        <v>5.6000000000000005</v>
      </c>
      <c r="F16" s="1">
        <f t="shared" si="3"/>
        <v>8.1999999999999993</v>
      </c>
      <c r="G16" s="1">
        <f t="shared" si="1"/>
        <v>8.3999999999999986</v>
      </c>
      <c r="H16" s="1">
        <f t="shared" si="4"/>
        <v>2.5999999999999988</v>
      </c>
      <c r="I16" s="1">
        <f t="shared" si="5"/>
        <v>0</v>
      </c>
      <c r="J16" s="1">
        <f t="shared" si="6"/>
        <v>1</v>
      </c>
      <c r="K16" s="1">
        <f t="shared" si="7"/>
        <v>2</v>
      </c>
    </row>
    <row r="17" spans="2:11" x14ac:dyDescent="0.25">
      <c r="B17" s="1">
        <v>6</v>
      </c>
      <c r="C17" s="1">
        <v>1.5</v>
      </c>
      <c r="D17" s="1">
        <v>1.8</v>
      </c>
      <c r="E17" s="1">
        <f t="shared" si="2"/>
        <v>7.1000000000000005</v>
      </c>
      <c r="F17" s="1">
        <f t="shared" si="3"/>
        <v>8.3999999999999986</v>
      </c>
      <c r="G17" s="1">
        <f t="shared" si="1"/>
        <v>10.199999999999999</v>
      </c>
      <c r="H17" s="1">
        <f t="shared" si="4"/>
        <v>1.299999999999998</v>
      </c>
      <c r="I17" s="1">
        <f t="shared" si="5"/>
        <v>0</v>
      </c>
      <c r="J17" s="1">
        <f t="shared" si="6"/>
        <v>2</v>
      </c>
      <c r="K17" s="1">
        <v>0</v>
      </c>
    </row>
    <row r="21" spans="2:11" ht="15" customHeight="1" x14ac:dyDescent="0.25">
      <c r="B21" s="3"/>
      <c r="C21" s="4" t="s">
        <v>8</v>
      </c>
      <c r="D21" s="5">
        <f>MAX(J12:J17)</f>
        <v>2</v>
      </c>
      <c r="E21" s="9" t="str">
        <f ca="1">_xlfn.FORMULATEXT(D21)</f>
        <v>=MAX(J12:J17)</v>
      </c>
      <c r="F21" s="9"/>
      <c r="G21" s="9"/>
      <c r="H21" s="3"/>
      <c r="I21" s="3"/>
      <c r="J21" s="3"/>
      <c r="K21" s="3"/>
    </row>
    <row r="22" spans="2:11" x14ac:dyDescent="0.25">
      <c r="C22" s="4" t="s">
        <v>7</v>
      </c>
      <c r="D22" s="6">
        <f>MIN(K12:K17)</f>
        <v>0</v>
      </c>
      <c r="E22" s="15" t="str">
        <f t="shared" ref="E22:E26" ca="1" si="8">_xlfn.FORMULATEXT(D22)</f>
        <v>=MIN(K12:K17)</v>
      </c>
      <c r="F22" s="15"/>
      <c r="G22" s="15"/>
    </row>
    <row r="23" spans="2:11" x14ac:dyDescent="0.25">
      <c r="C23" s="4" t="s">
        <v>9</v>
      </c>
      <c r="D23" s="6">
        <f>SUM(H12:H17)</f>
        <v>4.6999999999999975</v>
      </c>
      <c r="E23" s="15" t="str">
        <f t="shared" ca="1" si="8"/>
        <v>=SUM(H12:H17)</v>
      </c>
      <c r="F23" s="15"/>
      <c r="G23" s="15"/>
    </row>
    <row r="24" spans="2:11" x14ac:dyDescent="0.25">
      <c r="C24" s="4" t="s">
        <v>10</v>
      </c>
      <c r="D24" s="16">
        <f>AVERAGE(H12:H17)</f>
        <v>0.78333333333333288</v>
      </c>
      <c r="E24" s="15" t="str">
        <f t="shared" ca="1" si="8"/>
        <v>=AVERAGE(H12:H17)</v>
      </c>
      <c r="F24" s="15"/>
      <c r="G24" s="15"/>
    </row>
    <row r="25" spans="2:11" x14ac:dyDescent="0.25">
      <c r="C25" s="4" t="s">
        <v>11</v>
      </c>
      <c r="D25" s="16">
        <f>SUM(I12:I17)</f>
        <v>1.7000000000000002</v>
      </c>
      <c r="E25" s="15" t="str">
        <f t="shared" ca="1" si="8"/>
        <v>=SUM(I12:I17)</v>
      </c>
      <c r="F25" s="15"/>
      <c r="G25" s="15"/>
    </row>
    <row r="26" spans="2:11" x14ac:dyDescent="0.25">
      <c r="C26" s="4" t="s">
        <v>12</v>
      </c>
      <c r="D26" s="7">
        <f>SUM(D12:D17)/G17</f>
        <v>0.83333333333333337</v>
      </c>
      <c r="E26" s="15" t="str">
        <f t="shared" ca="1" si="8"/>
        <v>=SUM(D12:D17)/G17</v>
      </c>
      <c r="F26" s="15"/>
      <c r="G26" s="15"/>
    </row>
    <row r="27" spans="2:11" x14ac:dyDescent="0.25">
      <c r="D27" t="s">
        <v>22</v>
      </c>
    </row>
  </sheetData>
  <mergeCells count="5">
    <mergeCell ref="E22:G22"/>
    <mergeCell ref="E23:G23"/>
    <mergeCell ref="E24:G24"/>
    <mergeCell ref="E25:G25"/>
    <mergeCell ref="E26:G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BF12-9F89-4D80-89D2-DAAD94BB7013}">
  <dimension ref="B3:H29"/>
  <sheetViews>
    <sheetView workbookViewId="0">
      <selection activeCell="K27" sqref="K27"/>
    </sheetView>
  </sheetViews>
  <sheetFormatPr defaultRowHeight="15" x14ac:dyDescent="0.25"/>
  <cols>
    <col min="3" max="3" width="11.140625" customWidth="1"/>
  </cols>
  <sheetData>
    <row r="3" spans="2:8" ht="30" x14ac:dyDescent="0.25"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</row>
    <row r="4" spans="2:8" x14ac:dyDescent="0.25">
      <c r="B4" s="2">
        <v>1</v>
      </c>
      <c r="C4" s="10">
        <v>0</v>
      </c>
      <c r="D4" s="13">
        <v>2.5</v>
      </c>
      <c r="E4" s="10">
        <v>0</v>
      </c>
      <c r="F4" s="10">
        <v>0</v>
      </c>
      <c r="G4" s="10">
        <v>2.5</v>
      </c>
      <c r="H4" s="10">
        <v>0</v>
      </c>
    </row>
    <row r="5" spans="2:8" x14ac:dyDescent="0.25">
      <c r="B5" s="2">
        <v>2</v>
      </c>
      <c r="C5" s="10">
        <v>1</v>
      </c>
      <c r="D5" s="13"/>
      <c r="E5" s="10">
        <v>1</v>
      </c>
      <c r="F5" s="10"/>
      <c r="G5" s="10"/>
      <c r="H5" s="10">
        <f>IF(D5=0,0,IF((MAX($G$4:G4)-E5)&gt;0,(MAX($G$4:G4)-E5),0))</f>
        <v>0</v>
      </c>
    </row>
    <row r="6" spans="2:8" x14ac:dyDescent="0.25">
      <c r="B6" s="2">
        <v>3</v>
      </c>
      <c r="C6" s="10">
        <v>1</v>
      </c>
      <c r="D6" s="13">
        <v>2</v>
      </c>
      <c r="E6" s="10">
        <v>2</v>
      </c>
      <c r="F6" s="10">
        <v>2.5</v>
      </c>
      <c r="G6" s="10">
        <v>4.5</v>
      </c>
      <c r="H6" s="10">
        <f>IF(D6=0,0,IF((MAX($G$4:G5)-E6)&gt;0,(MAX($G$4:G5)-E6),0))</f>
        <v>0.5</v>
      </c>
    </row>
    <row r="7" spans="2:8" x14ac:dyDescent="0.25">
      <c r="B7" s="2">
        <v>4</v>
      </c>
      <c r="C7" s="10">
        <v>1</v>
      </c>
      <c r="D7" s="13"/>
      <c r="E7" s="10">
        <v>3</v>
      </c>
      <c r="F7" s="10"/>
      <c r="G7" s="10"/>
      <c r="H7" s="10">
        <f>IF(D7=0,0,IF((MAX($G$4:G6)-E7)&gt;0,(MAX($G$4:G6)-E7),0))</f>
        <v>0</v>
      </c>
    </row>
    <row r="8" spans="2:8" x14ac:dyDescent="0.25">
      <c r="B8" s="2">
        <v>5</v>
      </c>
      <c r="C8" s="10">
        <v>1</v>
      </c>
      <c r="D8" s="13">
        <v>3</v>
      </c>
      <c r="E8" s="10">
        <v>4</v>
      </c>
      <c r="F8" s="10">
        <v>4.5</v>
      </c>
      <c r="G8" s="10">
        <v>7.5</v>
      </c>
      <c r="H8" s="10">
        <f>IF(D8=0,0,IF((MAX($G$4:G7)-E8)&gt;0,(MAX($G$4:G7)-E8),0))</f>
        <v>0.5</v>
      </c>
    </row>
    <row r="9" spans="2:8" x14ac:dyDescent="0.25">
      <c r="B9" s="2">
        <v>6</v>
      </c>
      <c r="C9" s="10">
        <v>1</v>
      </c>
      <c r="D9" s="13">
        <v>1.5</v>
      </c>
      <c r="E9" s="10">
        <v>5</v>
      </c>
      <c r="F9" s="10">
        <v>7.5</v>
      </c>
      <c r="G9" s="10">
        <v>9</v>
      </c>
      <c r="H9" s="10">
        <f>IF(D9=0,0,IF((MAX($G$4:G8)-E9)&gt;0,(MAX($G$4:G8)-E9),0))</f>
        <v>2.5</v>
      </c>
    </row>
    <row r="10" spans="2:8" x14ac:dyDescent="0.25">
      <c r="B10" s="2">
        <v>7</v>
      </c>
      <c r="C10" s="10">
        <v>1</v>
      </c>
      <c r="D10" s="13"/>
      <c r="E10" s="10">
        <v>6</v>
      </c>
      <c r="F10" s="10"/>
      <c r="G10" s="10"/>
      <c r="H10" s="10">
        <f>IF(D10=0,0,IF((MAX($G$4:G9)-E10)&gt;0,(MAX($G$4:G9)-E10),0))</f>
        <v>0</v>
      </c>
    </row>
    <row r="11" spans="2:8" x14ac:dyDescent="0.25">
      <c r="B11" s="2">
        <v>8</v>
      </c>
      <c r="C11" s="10">
        <v>1</v>
      </c>
      <c r="D11" s="13">
        <v>2</v>
      </c>
      <c r="E11" s="10">
        <v>7</v>
      </c>
      <c r="F11" s="10">
        <v>9</v>
      </c>
      <c r="G11" s="10">
        <v>11</v>
      </c>
      <c r="H11" s="10">
        <f>IF(D11=0,0,IF((MAX($G$4:G10)-E11)&gt;0,(MAX($G$4:G10)-E11),0))</f>
        <v>2</v>
      </c>
    </row>
    <row r="12" spans="2:8" x14ac:dyDescent="0.25">
      <c r="B12" s="2">
        <v>9</v>
      </c>
      <c r="C12" s="10">
        <v>1</v>
      </c>
      <c r="D12" s="13">
        <v>1</v>
      </c>
      <c r="E12" s="10">
        <v>8</v>
      </c>
      <c r="F12" s="10">
        <v>11</v>
      </c>
      <c r="G12" s="10">
        <v>12</v>
      </c>
      <c r="H12" s="10">
        <f>IF(D12=0,0,IF((MAX($G$4:G11)-E12)&gt;0,(MAX($G$4:G11)-E12),0))</f>
        <v>3</v>
      </c>
    </row>
    <row r="13" spans="2:8" x14ac:dyDescent="0.25">
      <c r="B13" s="2">
        <v>10</v>
      </c>
      <c r="C13" s="10">
        <v>1</v>
      </c>
      <c r="D13" s="13"/>
      <c r="E13" s="10">
        <v>9</v>
      </c>
      <c r="F13" s="10"/>
      <c r="G13" s="10"/>
      <c r="H13" s="10">
        <f>IF(D13=0,0,IF((MAX($G$4:G12)-E13)&gt;0,(MAX($G$4:G12)-E13),0))</f>
        <v>0</v>
      </c>
    </row>
    <row r="14" spans="2:8" x14ac:dyDescent="0.25">
      <c r="B14" s="2">
        <v>11</v>
      </c>
      <c r="C14" s="10">
        <v>1</v>
      </c>
      <c r="D14" s="13"/>
      <c r="E14" s="10">
        <v>10</v>
      </c>
      <c r="F14" s="10"/>
      <c r="G14" s="10"/>
      <c r="H14" s="10">
        <f>IF(D14=0,0,IF((MAX($G$4:G13)-E14)&gt;0,(MAX($G$4:G13)-E14),0))</f>
        <v>0</v>
      </c>
    </row>
    <row r="15" spans="2:8" x14ac:dyDescent="0.25">
      <c r="B15" s="2">
        <v>12</v>
      </c>
      <c r="C15" s="10">
        <v>1</v>
      </c>
      <c r="D15" s="13"/>
      <c r="E15" s="10">
        <v>11</v>
      </c>
      <c r="F15" s="10"/>
      <c r="G15" s="10"/>
      <c r="H15" s="10">
        <f>IF(D15=0,0,IF((MAX($G$4:G14)-E15)&gt;0,(MAX($G$4:G14)-E15),0))</f>
        <v>0</v>
      </c>
    </row>
    <row r="16" spans="2:8" x14ac:dyDescent="0.25">
      <c r="B16" s="2">
        <v>13</v>
      </c>
      <c r="C16" s="10">
        <v>1</v>
      </c>
      <c r="D16" s="13">
        <v>2</v>
      </c>
      <c r="E16" s="10">
        <v>12</v>
      </c>
      <c r="F16" s="10">
        <v>12</v>
      </c>
      <c r="G16" s="10">
        <v>14</v>
      </c>
      <c r="H16" s="10">
        <f>IF(D16=0,0,IF((MAX($G$4:G15)-E16)&gt;0,(MAX($G$4:G15)-E16),0))</f>
        <v>0</v>
      </c>
    </row>
    <row r="17" spans="2:8" x14ac:dyDescent="0.25">
      <c r="B17" s="2">
        <v>14</v>
      </c>
      <c r="C17" s="10">
        <v>1</v>
      </c>
      <c r="D17" s="13"/>
      <c r="E17" s="10">
        <v>13</v>
      </c>
      <c r="F17" s="10"/>
      <c r="G17" s="10"/>
      <c r="H17" s="10">
        <f>IF(D17=0,0,IF((MAX($G$4:G16)-E17)&gt;0,(MAX($G$4:G16)-E17),0))</f>
        <v>0</v>
      </c>
    </row>
    <row r="18" spans="2:8" x14ac:dyDescent="0.25">
      <c r="B18" s="2">
        <v>15</v>
      </c>
      <c r="C18" s="10">
        <v>1</v>
      </c>
      <c r="D18" s="13"/>
      <c r="E18" s="10">
        <v>14</v>
      </c>
      <c r="F18" s="10"/>
      <c r="G18" s="10"/>
      <c r="H18" s="10">
        <f>IF(D18=0,0,IF((MAX($G$4:G17)-E18)&gt;0,(MAX($G$4:G17)-E18),0))</f>
        <v>0</v>
      </c>
    </row>
    <row r="19" spans="2:8" x14ac:dyDescent="0.25">
      <c r="B19" s="2">
        <v>16</v>
      </c>
      <c r="C19" s="10">
        <v>1</v>
      </c>
      <c r="D19" s="13">
        <v>0.5</v>
      </c>
      <c r="E19" s="10">
        <v>15</v>
      </c>
      <c r="F19" s="10">
        <v>15</v>
      </c>
      <c r="G19" s="10">
        <v>15.5</v>
      </c>
      <c r="H19" s="10">
        <f>IF(D19=0,0,IF((MAX($G$4:G18)-E19)&gt;0,(MAX($G$4:G18)-E19),0))</f>
        <v>0</v>
      </c>
    </row>
    <row r="20" spans="2:8" x14ac:dyDescent="0.25">
      <c r="B20" s="2">
        <v>17</v>
      </c>
      <c r="C20" s="10">
        <v>1</v>
      </c>
      <c r="D20" s="13"/>
      <c r="E20" s="10">
        <v>16</v>
      </c>
      <c r="F20" s="10"/>
      <c r="G20" s="10"/>
      <c r="H20" s="10">
        <f>IF(D20=0,0,IF((MAX($G$4:G19)-E20)&gt;0,(MAX($G$4:G19)-E20),0))</f>
        <v>0</v>
      </c>
    </row>
    <row r="21" spans="2:8" x14ac:dyDescent="0.25">
      <c r="B21" s="2">
        <v>18</v>
      </c>
      <c r="C21" s="10">
        <v>1</v>
      </c>
      <c r="D21" s="13">
        <v>1.5</v>
      </c>
      <c r="E21" s="10">
        <v>17</v>
      </c>
      <c r="F21" s="10">
        <v>17</v>
      </c>
      <c r="G21" s="10">
        <v>18.5</v>
      </c>
      <c r="H21" s="10">
        <f>IF(D21=0,0,IF((MAX($G$4:G20)-E21)&gt;0,(MAX($G$4:G20)-E21),0))</f>
        <v>0</v>
      </c>
    </row>
    <row r="22" spans="2:8" x14ac:dyDescent="0.25">
      <c r="B22" s="2">
        <v>19</v>
      </c>
      <c r="C22" s="10">
        <v>1</v>
      </c>
      <c r="D22" s="13">
        <v>3</v>
      </c>
      <c r="E22" s="10">
        <v>18</v>
      </c>
      <c r="F22" s="10">
        <v>18.5</v>
      </c>
      <c r="G22" s="10">
        <v>21.5</v>
      </c>
      <c r="H22" s="10">
        <f>IF(D22=0,0,IF((MAX($G$4:G21)-E22)&gt;0,(MAX($G$4:G21)-E22),0))</f>
        <v>0.5</v>
      </c>
    </row>
    <row r="23" spans="2:8" x14ac:dyDescent="0.25">
      <c r="B23" s="2">
        <v>20</v>
      </c>
      <c r="C23" s="10">
        <v>1</v>
      </c>
      <c r="D23" s="10"/>
      <c r="E23" s="10">
        <v>19</v>
      </c>
      <c r="F23" s="10"/>
      <c r="G23" s="10"/>
      <c r="H23" s="10">
        <f>IF(D23=0,0,IF((MAX($G$4:G22)-E23)&gt;0,(MAX($G$4:G22)-E23),0))</f>
        <v>0</v>
      </c>
    </row>
    <row r="26" spans="2:8" x14ac:dyDescent="0.25">
      <c r="E26" s="4" t="s">
        <v>34</v>
      </c>
      <c r="F26" s="11">
        <f>SUM(H4:H23)/COUNT(D4:D23)</f>
        <v>0.9</v>
      </c>
    </row>
    <row r="27" spans="2:8" x14ac:dyDescent="0.25">
      <c r="E27" s="4" t="s">
        <v>35</v>
      </c>
      <c r="F27" s="11">
        <f>SUM(D4:D23)/B23</f>
        <v>0.95</v>
      </c>
    </row>
    <row r="29" spans="2:8" x14ac:dyDescent="0.25">
      <c r="E29" s="4" t="s">
        <v>32</v>
      </c>
      <c r="F29">
        <f>SUM(D4,D8,D11,D16,D19,D21)/20</f>
        <v>0.57499999999999996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3FCA-27E8-44F7-AE84-73BDD871C3CE}">
  <dimension ref="B3:G9"/>
  <sheetViews>
    <sheetView workbookViewId="0">
      <selection activeCell="B10" sqref="B10"/>
    </sheetView>
  </sheetViews>
  <sheetFormatPr defaultRowHeight="15" x14ac:dyDescent="0.25"/>
  <sheetData>
    <row r="3" spans="2:7" x14ac:dyDescent="0.25">
      <c r="B3" s="12" t="s">
        <v>31</v>
      </c>
      <c r="C3" s="12"/>
    </row>
    <row r="5" spans="2:7" x14ac:dyDescent="0.25">
      <c r="B5" s="14" t="s">
        <v>33</v>
      </c>
      <c r="C5" s="14"/>
      <c r="D5" s="14"/>
      <c r="E5" s="14"/>
      <c r="F5" s="14"/>
      <c r="G5" s="14"/>
    </row>
    <row r="6" spans="2:7" x14ac:dyDescent="0.25">
      <c r="B6" s="14"/>
      <c r="C6" s="14"/>
      <c r="D6" s="14"/>
      <c r="E6" s="14"/>
      <c r="F6" s="14"/>
      <c r="G6" s="14"/>
    </row>
    <row r="7" spans="2:7" x14ac:dyDescent="0.25">
      <c r="B7" s="14"/>
      <c r="C7" s="14"/>
      <c r="D7" s="14"/>
      <c r="E7" s="14"/>
      <c r="F7" s="14"/>
      <c r="G7" s="14"/>
    </row>
    <row r="8" spans="2:7" x14ac:dyDescent="0.25">
      <c r="B8" s="14"/>
      <c r="C8" s="14"/>
      <c r="D8" s="14"/>
      <c r="E8" s="14"/>
      <c r="F8" s="14"/>
      <c r="G8" s="14"/>
    </row>
    <row r="9" spans="2:7" x14ac:dyDescent="0.25">
      <c r="B9" s="14"/>
      <c r="C9" s="14"/>
      <c r="D9" s="14"/>
      <c r="E9" s="14"/>
      <c r="F9" s="14"/>
      <c r="G9" s="14"/>
    </row>
  </sheetData>
  <mergeCells count="2">
    <mergeCell ref="B3:C3"/>
    <mergeCell ref="B5:G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2</vt:lpstr>
      <vt:lpstr>Question 3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Connors, Andrew M CIV USARMY DEVCOM SC (USA)</dc:creator>
  <cp:lastModifiedBy>Connors, Andrew M CIV USARMY DEVCOM SC (USA)</cp:lastModifiedBy>
  <dcterms:created xsi:type="dcterms:W3CDTF">2026-01-11T22:49:27Z</dcterms:created>
  <dcterms:modified xsi:type="dcterms:W3CDTF">2026-01-14T21:37:54Z</dcterms:modified>
</cp:coreProperties>
</file>